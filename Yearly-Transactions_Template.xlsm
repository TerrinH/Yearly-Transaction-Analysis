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pivotCache/pivotCacheDefinition9.xml" ContentType="application/vnd.openxmlformats-officedocument.spreadsheetml.pivotCacheDefinition+xml"/>
  <Override PartName="/xl/pivotCache/pivotCacheRecords9.xml" ContentType="application/vnd.openxmlformats-officedocument.spreadsheetml.pivotCacheRecords+xml"/>
  <Override PartName="/xl/pivotCache/pivotCacheDefinition10.xml" ContentType="application/vnd.openxmlformats-officedocument.spreadsheetml.pivotCacheDefinition+xml"/>
  <Override PartName="/xl/pivotCache/pivotCacheRecords10.xml" ContentType="application/vnd.openxmlformats-officedocument.spreadsheetml.pivotCacheRecords+xml"/>
  <Override PartName="/xl/pivotCache/pivotCacheDefinition11.xml" ContentType="application/vnd.openxmlformats-officedocument.spreadsheetml.pivotCacheDefinition+xml"/>
  <Override PartName="/xl/pivotCache/pivotCacheRecords11.xml" ContentType="application/vnd.openxmlformats-officedocument.spreadsheetml.pivotCacheRecords+xml"/>
  <Override PartName="/xl/pivotCache/pivotCacheDefinition12.xml" ContentType="application/vnd.openxmlformats-officedocument.spreadsheetml.pivotCacheDefinition+xml"/>
  <Override PartName="/xl/pivotCache/pivotCacheRecords12.xml" ContentType="application/vnd.openxmlformats-officedocument.spreadsheetml.pivotCacheRecords+xml"/>
  <Override PartName="/xl/pivotCache/pivotCacheDefinition13.xml" ContentType="application/vnd.openxmlformats-officedocument.spreadsheetml.pivotCacheDefinition+xml"/>
  <Override PartName="/xl/pivotCache/pivotCacheRecords1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trlProps/ctrlProp4.xml" ContentType="application/vnd.ms-excel.controlproperties+xml"/>
  <Override PartName="/xl/tables/table2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ctrlProps/ctrlProp5.xml" ContentType="application/vnd.ms-excel.controlproperties+xml"/>
  <Override PartName="/xl/tables/table3.xml" ContentType="application/vnd.openxmlformats-officedocument.spreadsheetml.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5.xml" ContentType="application/vnd.openxmlformats-officedocument.spreadsheetml.pivotTable+xml"/>
  <Override PartName="/xl/drawings/drawing5.xml" ContentType="application/vnd.openxmlformats-officedocument.drawing+xml"/>
  <Override PartName="/xl/ctrlProps/ctrlProp6.xml" ContentType="application/vnd.ms-excel.controlproperties+xml"/>
  <Override PartName="/xl/tables/table4.xml" ContentType="application/vnd.openxmlformats-officedocument.spreadsheetml.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6.xml" ContentType="application/vnd.openxmlformats-officedocument.spreadsheetml.pivotTable+xml"/>
  <Override PartName="/xl/drawings/drawing6.xml" ContentType="application/vnd.openxmlformats-officedocument.drawing+xml"/>
  <Override PartName="/xl/ctrlProps/ctrlProp7.xml" ContentType="application/vnd.ms-excel.controlproperties+xml"/>
  <Override PartName="/xl/tables/table5.xml" ContentType="application/vnd.openxmlformats-officedocument.spreadsheetml.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7.xml" ContentType="application/vnd.openxmlformats-officedocument.spreadsheetml.pivotTable+xml"/>
  <Override PartName="/xl/drawings/drawing7.xml" ContentType="application/vnd.openxmlformats-officedocument.drawing+xml"/>
  <Override PartName="/xl/ctrlProps/ctrlProp8.xml" ContentType="application/vnd.ms-excel.controlproperties+xml"/>
  <Override PartName="/xl/tables/table6.xml" ContentType="application/vnd.openxmlformats-officedocument.spreadsheetml.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8.xml" ContentType="application/vnd.openxmlformats-officedocument.spreadsheetml.pivotTable+xml"/>
  <Override PartName="/xl/drawings/drawing8.xml" ContentType="application/vnd.openxmlformats-officedocument.drawing+xml"/>
  <Override PartName="/xl/ctrlProps/ctrlProp9.xml" ContentType="application/vnd.ms-excel.controlproperties+xml"/>
  <Override PartName="/xl/tables/table7.xml" ContentType="application/vnd.openxmlformats-officedocument.spreadsheetml.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ivotTables/pivotTable9.xml" ContentType="application/vnd.openxmlformats-officedocument.spreadsheetml.pivotTable+xml"/>
  <Override PartName="/xl/drawings/drawing9.xml" ContentType="application/vnd.openxmlformats-officedocument.drawing+xml"/>
  <Override PartName="/xl/ctrlProps/ctrlProp10.xml" ContentType="application/vnd.ms-excel.controlproperties+xml"/>
  <Override PartName="/xl/tables/table8.xml" ContentType="application/vnd.openxmlformats-officedocument.spreadsheetml.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pivotTables/pivotTable10.xml" ContentType="application/vnd.openxmlformats-officedocument.spreadsheetml.pivotTable+xml"/>
  <Override PartName="/xl/drawings/drawing10.xml" ContentType="application/vnd.openxmlformats-officedocument.drawing+xml"/>
  <Override PartName="/xl/ctrlProps/ctrlProp11.xml" ContentType="application/vnd.ms-excel.controlproperties+xml"/>
  <Override PartName="/xl/tables/table9.xml" ContentType="application/vnd.openxmlformats-officedocument.spreadsheetml.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pivotTables/pivotTable11.xml" ContentType="application/vnd.openxmlformats-officedocument.spreadsheetml.pivotTable+xml"/>
  <Override PartName="/xl/drawings/drawing11.xml" ContentType="application/vnd.openxmlformats-officedocument.drawing+xml"/>
  <Override PartName="/xl/ctrlProps/ctrlProp12.xml" ContentType="application/vnd.ms-excel.controlproperties+xml"/>
  <Override PartName="/xl/tables/table10.xml" ContentType="application/vnd.openxmlformats-officedocument.spreadsheetml.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pivotTables/pivotTable12.xml" ContentType="application/vnd.openxmlformats-officedocument.spreadsheetml.pivotTable+xml"/>
  <Override PartName="/xl/drawings/drawing12.xml" ContentType="application/vnd.openxmlformats-officedocument.drawing+xml"/>
  <Override PartName="/xl/ctrlProps/ctrlProp13.xml" ContentType="application/vnd.ms-excel.controlproperties+xml"/>
  <Override PartName="/xl/tables/table11.xml" ContentType="application/vnd.openxmlformats-officedocument.spreadsheetml.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pivotTables/pivotTable13.xml" ContentType="application/vnd.openxmlformats-officedocument.spreadsheetml.pivotTable+xml"/>
  <Override PartName="/xl/drawings/drawing13.xml" ContentType="application/vnd.openxmlformats-officedocument.drawing+xml"/>
  <Override PartName="/xl/ctrlProps/ctrlProp14.xml" ContentType="application/vnd.ms-excel.controlproperties+xml"/>
  <Override PartName="/xl/tables/table12.xml" ContentType="application/vnd.openxmlformats-officedocument.spreadsheetml.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 codeName="{22E68647-3C60-695B-3CA0-4895CD717B8A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ceph\Desktop\GitHub\TerrinH\yearly-transaction-analysis\"/>
    </mc:Choice>
  </mc:AlternateContent>
  <xr:revisionPtr revIDLastSave="0" documentId="8_{B1645FFB-F265-4327-A760-EB9B8C799196}" xr6:coauthVersionLast="40" xr6:coauthVersionMax="40" xr10:uidLastSave="{00000000-0000-0000-0000-000000000000}"/>
  <bookViews>
    <workbookView xWindow="-110" yWindow="-110" windowWidth="21820" windowHeight="14020" xr2:uid="{7372B273-6827-4299-8E81-68327269E849}"/>
  </bookViews>
  <sheets>
    <sheet name="Year" sheetId="1" r:id="rId1"/>
    <sheet name="January" sheetId="2" r:id="rId2"/>
    <sheet name="February" sheetId="3" r:id="rId3"/>
    <sheet name="March" sheetId="4" r:id="rId4"/>
    <sheet name="April" sheetId="6" r:id="rId5"/>
    <sheet name="May" sheetId="7" r:id="rId6"/>
    <sheet name="June" sheetId="8" r:id="rId7"/>
    <sheet name="July" sheetId="9" r:id="rId8"/>
    <sheet name="August" sheetId="10" r:id="rId9"/>
    <sheet name="September" sheetId="11" r:id="rId10"/>
    <sheet name="October" sheetId="12" r:id="rId11"/>
    <sheet name="November" sheetId="13" r:id="rId12"/>
    <sheet name="December" sheetId="14" r:id="rId13"/>
    <sheet name="Categories" sheetId="15" r:id="rId14"/>
  </sheets>
  <definedNames>
    <definedName name="_xlcn.WorksheetConnection_YearlyTransactions_Template.xlsmFebTransactions" hidden="1">FebTransactions[]</definedName>
    <definedName name="_xlcn.WorksheetConnection_YearlyTransactions_Template.xlsmJanTransactions" hidden="1">JanTransactions[]</definedName>
  </definedNames>
  <calcPr calcId="191029"/>
  <pivotCaches>
    <pivotCache cacheId="0" r:id="rId15"/>
    <pivotCache cacheId="1" r:id="rId16"/>
    <pivotCache cacheId="2" r:id="rId17"/>
    <pivotCache cacheId="3" r:id="rId18"/>
    <pivotCache cacheId="4" r:id="rId19"/>
    <pivotCache cacheId="5" r:id="rId20"/>
    <pivotCache cacheId="6" r:id="rId21"/>
    <pivotCache cacheId="7" r:id="rId22"/>
    <pivotCache cacheId="8" r:id="rId23"/>
    <pivotCache cacheId="9" r:id="rId24"/>
    <pivotCache cacheId="10" r:id="rId25"/>
    <pivotCache cacheId="11" r:id="rId26"/>
    <pivotCache cacheId="12" r:id="rId27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JanTransactions" name="JanTransactions" connection="WorksheetConnection_Yearly-Transactions_Template.xlsm!JanTransactions"/>
          <x15:modelTable id="FebTransactions" name="FebTransactions" connection="WorksheetConnection_Yearly-Transactions_Template.xlsm!FebTransactions"/>
        </x15:modelTables>
      </x15:dataModel>
    </ext>
  </extLst>
</workbook>
</file>

<file path=xl/calcChain.xml><?xml version="1.0" encoding="utf-8"?>
<calcChain xmlns="http://schemas.openxmlformats.org/spreadsheetml/2006/main">
  <c r="B3" i="2" l="1"/>
  <c r="B3" i="3" l="1"/>
  <c r="C3" i="2" l="1"/>
  <c r="D3" i="2"/>
  <c r="D3" i="14"/>
  <c r="C3" i="14"/>
  <c r="B3" i="14"/>
  <c r="D3" i="13"/>
  <c r="C3" i="13"/>
  <c r="B3" i="13"/>
  <c r="D3" i="12"/>
  <c r="C3" i="12"/>
  <c r="B3" i="12"/>
  <c r="D3" i="11"/>
  <c r="C3" i="11"/>
  <c r="B3" i="11"/>
  <c r="D3" i="10"/>
  <c r="C3" i="10"/>
  <c r="B3" i="10"/>
  <c r="D3" i="9"/>
  <c r="C3" i="9"/>
  <c r="B3" i="9"/>
  <c r="D3" i="8"/>
  <c r="C3" i="8"/>
  <c r="B3" i="8"/>
  <c r="D3" i="7"/>
  <c r="C3" i="7"/>
  <c r="B3" i="7"/>
  <c r="D3" i="6"/>
  <c r="C3" i="6"/>
  <c r="B3" i="6"/>
  <c r="D3" i="4"/>
  <c r="C3" i="4"/>
  <c r="B3" i="4"/>
  <c r="D3" i="3"/>
  <c r="C3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0E888C2-953D-4167-8E57-C651E9157C17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A9743095-7DF4-440B-9813-5C68EE5374FD}" name="WorksheetConnection_Yearly-Transactions_Template.xlsm!FebTransactions" type="102" refreshedVersion="6" minRefreshableVersion="5">
    <extLst>
      <ext xmlns:x15="http://schemas.microsoft.com/office/spreadsheetml/2010/11/main" uri="{DE250136-89BD-433C-8126-D09CA5730AF9}">
        <x15:connection id="FebTransactions">
          <x15:rangePr sourceName="_xlcn.WorksheetConnection_YearlyTransactions_Template.xlsmFebTransactions"/>
        </x15:connection>
      </ext>
    </extLst>
  </connection>
  <connection id="3" xr16:uid="{C1208A81-9F40-40C9-8945-74A61761CEEB}" name="WorksheetConnection_Yearly-Transactions_Template.xlsm!JanTransactions" type="102" refreshedVersion="6" minRefreshableVersion="5">
    <extLst>
      <ext xmlns:x15="http://schemas.microsoft.com/office/spreadsheetml/2010/11/main" uri="{DE250136-89BD-433C-8126-D09CA5730AF9}">
        <x15:connection id="JanTransactions" autoDelete="1">
          <x15:rangePr sourceName="_xlcn.WorksheetConnection_YearlyTransactions_Template.xlsmJanTransactions"/>
        </x15:connection>
      </ext>
    </extLst>
  </connection>
</connections>
</file>

<file path=xl/sharedStrings.xml><?xml version="1.0" encoding="utf-8"?>
<sst xmlns="http://schemas.openxmlformats.org/spreadsheetml/2006/main" count="142" uniqueCount="50">
  <si>
    <t>Date</t>
  </si>
  <si>
    <t>Amount</t>
  </si>
  <si>
    <t>Category</t>
  </si>
  <si>
    <t>Description</t>
  </si>
  <si>
    <t>Total</t>
  </si>
  <si>
    <t>CAR INSURANCE</t>
  </si>
  <si>
    <t>FAST FOOD</t>
  </si>
  <si>
    <t>EDUCATION</t>
  </si>
  <si>
    <t>FUEL</t>
  </si>
  <si>
    <t>CARD PAYMENT</t>
  </si>
  <si>
    <t>ENTERTAINMENT</t>
  </si>
  <si>
    <t>CAR PAYMENT</t>
  </si>
  <si>
    <t>ONLINE FILES</t>
  </si>
  <si>
    <t>TOTAL</t>
  </si>
  <si>
    <t>OVERDRAFT FEE</t>
  </si>
  <si>
    <t>AMAZON</t>
  </si>
  <si>
    <t>TAX REFUND</t>
  </si>
  <si>
    <t>CAR MAINTENANCE</t>
  </si>
  <si>
    <t>ATM FEE</t>
  </si>
  <si>
    <t>(blank)</t>
  </si>
  <si>
    <t>January Net Change</t>
  </si>
  <si>
    <t>REFUND</t>
  </si>
  <si>
    <t>INCOME</t>
  </si>
  <si>
    <t>Totals</t>
  </si>
  <si>
    <t>February Net Change</t>
  </si>
  <si>
    <t>March Net Change</t>
  </si>
  <si>
    <t>April Net Change</t>
  </si>
  <si>
    <t>May Net Change</t>
  </si>
  <si>
    <t>June Net Change</t>
  </si>
  <si>
    <t>July Net Change</t>
  </si>
  <si>
    <t>August Net Change</t>
  </si>
  <si>
    <t>September Net Change</t>
  </si>
  <si>
    <t>October Net Change</t>
  </si>
  <si>
    <t>November Net Change</t>
  </si>
  <si>
    <t>December Net Change</t>
  </si>
  <si>
    <t>Column Labels</t>
  </si>
  <si>
    <t>February</t>
  </si>
  <si>
    <t>January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</si>
  <si>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</si>
  <si>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</si>
  <si>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</si>
  <si>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</si>
  <si>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</si>
  <si>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</si>
  <si>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</si>
  <si>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</si>
  <si>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</si>
  <si>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</si>
  <si>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Yearly Overview</t>
  </si>
  <si>
    <t>GROCERIES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</si>
</sst>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medium">
        <color theme="4"/>
      </left>
      <right style="medium">
        <color theme="4"/>
      </right>
      <top style="medium">
        <color theme="4"/>
      </top>
      <bottom style="medium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5">
    <xf numFmtId="0" fontId="0" fillId="0" borderId="0" xfId="0"/>
    <xf numFmtId="164" fontId="0" fillId="0" borderId="0" xfId="0" applyNumberFormat="1"/>
    <xf numFmtId="0" fontId="0" fillId="0" borderId="0" xfId="0" applyNumberFormat="1"/>
    <xf numFmtId="49" fontId="1" fillId="0" borderId="0" xfId="0" applyNumberFormat="1" applyFont="1" applyAlignment="1">
      <alignment horizontal="center" vertical="center"/>
    </xf>
    <xf numFmtId="14" fontId="0" fillId="0" borderId="0" xfId="0" applyNumberFormat="1" applyProtection="1">
      <protection locked="0"/>
    </xf>
    <xf numFmtId="164" fontId="0" fillId="0" borderId="0" xfId="0" applyNumberFormat="1" applyProtection="1">
      <protection locked="0"/>
    </xf>
    <xf numFmtId="49" fontId="0" fillId="0" borderId="0" xfId="0" applyNumberFormat="1" applyProtection="1">
      <protection locked="0"/>
    </xf>
    <xf numFmtId="49" fontId="1" fillId="0" borderId="1" xfId="0" applyNumberFormat="1" applyFont="1" applyBorder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2" xfId="0" pivotButton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left"/>
    </xf>
    <xf numFmtId="164" fontId="0" fillId="0" borderId="2" xfId="0" applyNumberFormat="1" applyBorder="1"/>
    <xf numFmtId="164" fontId="3" fillId="0" borderId="2" xfId="0" applyNumberFormat="1" applyFont="1" applyBorder="1"/>
  </cellXfs>
  <cellStyles count="1">
    <cellStyle name="Normal" xfId="0" builtinId="0"/>
  </cellStyles>
  <dxfs count="136">
    <dxf>
      <numFmt numFmtId="30" formatCode="@"/>
      <protection locked="0" hidden="0"/>
    </dxf>
    <dxf>
      <numFmt numFmtId="0" formatCode="General"/>
    </dxf>
    <dxf>
      <numFmt numFmtId="30" formatCode="@"/>
      <protection locked="0" hidden="0"/>
    </dxf>
    <dxf>
      <numFmt numFmtId="164" formatCode="&quot;$&quot;#,##0.00"/>
    </dxf>
    <dxf>
      <numFmt numFmtId="164" formatCode="&quot;$&quot;#,##0.00"/>
      <protection locked="0" hidden="0"/>
    </dxf>
    <dxf>
      <numFmt numFmtId="19" formatCode="m/d/yyyy"/>
      <protection locked="0" hidden="0"/>
    </dxf>
    <dxf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30" formatCode="@"/>
      <protection locked="0" hidden="0"/>
    </dxf>
    <dxf>
      <numFmt numFmtId="0" formatCode="General"/>
    </dxf>
    <dxf>
      <numFmt numFmtId="30" formatCode="@"/>
      <protection locked="0" hidden="0"/>
    </dxf>
    <dxf>
      <numFmt numFmtId="164" formatCode="&quot;$&quot;#,##0.00"/>
    </dxf>
    <dxf>
      <numFmt numFmtId="164" formatCode="&quot;$&quot;#,##0.00"/>
      <protection locked="0" hidden="0"/>
    </dxf>
    <dxf>
      <numFmt numFmtId="19" formatCode="m/d/yyyy"/>
      <protection locked="0" hidden="0"/>
    </dxf>
    <dxf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30" formatCode="@"/>
      <protection locked="0" hidden="0"/>
    </dxf>
    <dxf>
      <numFmt numFmtId="0" formatCode="General"/>
    </dxf>
    <dxf>
      <numFmt numFmtId="30" formatCode="@"/>
      <protection locked="0" hidden="0"/>
    </dxf>
    <dxf>
      <numFmt numFmtId="164" formatCode="&quot;$&quot;#,##0.00"/>
    </dxf>
    <dxf>
      <numFmt numFmtId="164" formatCode="&quot;$&quot;#,##0.00"/>
      <protection locked="0" hidden="0"/>
    </dxf>
    <dxf>
      <numFmt numFmtId="19" formatCode="m/d/yyyy"/>
      <protection locked="0" hidden="0"/>
    </dxf>
    <dxf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30" formatCode="@"/>
      <protection locked="0" hidden="0"/>
    </dxf>
    <dxf>
      <numFmt numFmtId="0" formatCode="General"/>
    </dxf>
    <dxf>
      <numFmt numFmtId="30" formatCode="@"/>
      <protection locked="0" hidden="0"/>
    </dxf>
    <dxf>
      <numFmt numFmtId="164" formatCode="&quot;$&quot;#,##0.00"/>
    </dxf>
    <dxf>
      <numFmt numFmtId="164" formatCode="&quot;$&quot;#,##0.00"/>
      <protection locked="0" hidden="0"/>
    </dxf>
    <dxf>
      <numFmt numFmtId="19" formatCode="m/d/yyyy"/>
      <protection locked="0" hidden="0"/>
    </dxf>
    <dxf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30" formatCode="@"/>
      <protection locked="0" hidden="0"/>
    </dxf>
    <dxf>
      <numFmt numFmtId="0" formatCode="General"/>
    </dxf>
    <dxf>
      <numFmt numFmtId="30" formatCode="@"/>
      <protection locked="0" hidden="0"/>
    </dxf>
    <dxf>
      <numFmt numFmtId="164" formatCode="&quot;$&quot;#,##0.00"/>
    </dxf>
    <dxf>
      <numFmt numFmtId="164" formatCode="&quot;$&quot;#,##0.00"/>
      <protection locked="0" hidden="0"/>
    </dxf>
    <dxf>
      <numFmt numFmtId="19" formatCode="m/d/yyyy"/>
      <protection locked="0" hidden="0"/>
    </dxf>
    <dxf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30" formatCode="@"/>
      <protection locked="0" hidden="0"/>
    </dxf>
    <dxf>
      <numFmt numFmtId="0" formatCode="General"/>
    </dxf>
    <dxf>
      <numFmt numFmtId="30" formatCode="@"/>
      <protection locked="0" hidden="0"/>
    </dxf>
    <dxf>
      <numFmt numFmtId="164" formatCode="&quot;$&quot;#,##0.00"/>
    </dxf>
    <dxf>
      <numFmt numFmtId="164" formatCode="&quot;$&quot;#,##0.00"/>
      <protection locked="0" hidden="0"/>
    </dxf>
    <dxf>
      <numFmt numFmtId="19" formatCode="m/d/yyyy"/>
      <protection locked="0" hidden="0"/>
    </dxf>
    <dxf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30" formatCode="@"/>
      <protection locked="0" hidden="0"/>
    </dxf>
    <dxf>
      <numFmt numFmtId="0" formatCode="General"/>
    </dxf>
    <dxf>
      <numFmt numFmtId="30" formatCode="@"/>
      <protection locked="0" hidden="0"/>
    </dxf>
    <dxf>
      <numFmt numFmtId="164" formatCode="&quot;$&quot;#,##0.00"/>
    </dxf>
    <dxf>
      <numFmt numFmtId="164" formatCode="&quot;$&quot;#,##0.00"/>
      <protection locked="0" hidden="0"/>
    </dxf>
    <dxf>
      <numFmt numFmtId="19" formatCode="m/d/yyyy"/>
      <protection locked="0" hidden="0"/>
    </dxf>
    <dxf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30" formatCode="@"/>
      <protection locked="0" hidden="0"/>
    </dxf>
    <dxf>
      <numFmt numFmtId="0" formatCode="General"/>
    </dxf>
    <dxf>
      <numFmt numFmtId="30" formatCode="@"/>
      <protection locked="0" hidden="0"/>
    </dxf>
    <dxf>
      <numFmt numFmtId="164" formatCode="&quot;$&quot;#,##0.00"/>
    </dxf>
    <dxf>
      <numFmt numFmtId="164" formatCode="&quot;$&quot;#,##0.00"/>
      <protection locked="0" hidden="0"/>
    </dxf>
    <dxf>
      <numFmt numFmtId="19" formatCode="m/d/yyyy"/>
      <protection locked="0" hidden="0"/>
    </dxf>
    <dxf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30" formatCode="@"/>
      <protection locked="0" hidden="0"/>
    </dxf>
    <dxf>
      <numFmt numFmtId="0" formatCode="General"/>
    </dxf>
    <dxf>
      <numFmt numFmtId="30" formatCode="@"/>
      <protection locked="0" hidden="0"/>
    </dxf>
    <dxf>
      <numFmt numFmtId="164" formatCode="&quot;$&quot;#,##0.00"/>
    </dxf>
    <dxf>
      <numFmt numFmtId="164" formatCode="&quot;$&quot;#,##0.00"/>
      <protection locked="0" hidden="0"/>
    </dxf>
    <dxf>
      <numFmt numFmtId="19" formatCode="m/d/yyyy"/>
      <protection locked="0" hidden="0"/>
    </dxf>
    <dxf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30" formatCode="@"/>
      <protection locked="0" hidden="0"/>
    </dxf>
    <dxf>
      <numFmt numFmtId="0" formatCode="General"/>
    </dxf>
    <dxf>
      <numFmt numFmtId="30" formatCode="@"/>
      <protection locked="0" hidden="0"/>
    </dxf>
    <dxf>
      <numFmt numFmtId="164" formatCode="&quot;$&quot;#,##0.00"/>
    </dxf>
    <dxf>
      <numFmt numFmtId="164" formatCode="&quot;$&quot;#,##0.00"/>
      <protection locked="0" hidden="0"/>
    </dxf>
    <dxf>
      <numFmt numFmtId="19" formatCode="m/d/yyyy"/>
      <protection locked="0" hidden="0"/>
    </dxf>
    <dxf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30" formatCode="@"/>
      <protection locked="0" hidden="0"/>
    </dxf>
    <dxf>
      <numFmt numFmtId="0" formatCode="General"/>
    </dxf>
    <dxf>
      <numFmt numFmtId="30" formatCode="@"/>
      <protection locked="0" hidden="0"/>
    </dxf>
    <dxf>
      <numFmt numFmtId="164" formatCode="&quot;$&quot;#,##0.00"/>
    </dxf>
    <dxf>
      <numFmt numFmtId="164" formatCode="&quot;$&quot;#,##0.00"/>
      <protection locked="0" hidden="0"/>
    </dxf>
    <dxf>
      <numFmt numFmtId="19" formatCode="m/d/yyyy"/>
      <protection locked="0" hidden="0"/>
    </dxf>
    <dxf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30" formatCode="@"/>
      <protection locked="0" hidden="0"/>
    </dxf>
    <dxf>
      <numFmt numFmtId="0" formatCode="General"/>
    </dxf>
    <dxf>
      <numFmt numFmtId="30" formatCode="@"/>
      <protection locked="0" hidden="0"/>
    </dxf>
    <dxf>
      <numFmt numFmtId="164" formatCode="&quot;$&quot;#,##0.00"/>
    </dxf>
    <dxf>
      <numFmt numFmtId="164" formatCode="&quot;$&quot;#,##0.00"/>
      <protection locked="0" hidden="0"/>
    </dxf>
    <dxf>
      <numFmt numFmtId="19" formatCode="m/d/yyyy"/>
      <protection locked="0" hidden="0"/>
    </dxf>
    <dxf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&quot;$&quot;#,##0.00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4.xml"/><Relationship Id="rId26" Type="http://schemas.openxmlformats.org/officeDocument/2006/relationships/pivotCacheDefinition" Target="pivotCache/pivotCacheDefinition12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7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3.xml"/><Relationship Id="rId25" Type="http://schemas.openxmlformats.org/officeDocument/2006/relationships/pivotCacheDefinition" Target="pivotCache/pivotCacheDefinition11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2.xml"/><Relationship Id="rId20" Type="http://schemas.openxmlformats.org/officeDocument/2006/relationships/pivotCacheDefinition" Target="pivotCache/pivotCacheDefinition6.xml"/><Relationship Id="rId29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10.xml"/><Relationship Id="rId32" Type="http://schemas.openxmlformats.org/officeDocument/2006/relationships/powerPivotData" Target="model/item.data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23" Type="http://schemas.openxmlformats.org/officeDocument/2006/relationships/pivotCacheDefinition" Target="pivotCache/pivotCacheDefinition9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5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8.xml"/><Relationship Id="rId27" Type="http://schemas.openxmlformats.org/officeDocument/2006/relationships/pivotCacheDefinition" Target="pivotCache/pivotCacheDefinition13.xml"/><Relationship Id="rId30" Type="http://schemas.openxmlformats.org/officeDocument/2006/relationships/styles" Target="styles.xml"/><Relationship Id="rId35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[Yearly-Transactions_Template.xlsm]Year!PivotTable4</c:name>
    <c:fmtId val="1"/>
  </c:pivotSource>
  <c:chart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7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7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7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7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7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7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7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7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7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7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8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8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8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8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8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8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8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8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8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8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0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0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0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0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0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0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0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0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0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0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3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3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3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3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3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3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3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4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4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4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4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4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4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4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4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4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4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5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5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5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5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5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5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5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5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5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5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6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6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6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6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6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6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6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6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6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6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7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7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7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7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7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7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7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7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7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7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8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8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8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8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8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8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8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8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8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8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9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9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9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9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9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9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9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9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9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9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0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0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0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0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0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0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0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0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0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0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</c:pivotFmts>
    <c:plotArea>
      <c:layout>
        <c:manualLayout>
          <c:xMode val="edge"/>
          <c:yMode val="edge"/>
          <c:x val="5.9612518628912071E-3"/>
          <c:y val="8.9086859688195987E-3"/>
          <c:w val="0.66020864381520117"/>
          <c:h val="0.98663697104677062"/>
        </c:manualLayout>
      </c:layout>
      <c:doughnutChart>
        <c:varyColors val="1"/>
        <c:ser>
          <c:idx val="0"/>
          <c:order val="0"/>
          <c:tx>
            <c:strRef>
              <c:f>Year!$B$1:$B$2</c:f>
              <c:strCache>
                <c:ptCount val="1"/>
                <c:pt idx="0">
                  <c:v>January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AD67-4BB7-97E9-C38F86400478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AD67-4BB7-97E9-C38F86400478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AD67-4BB7-97E9-C38F86400478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AD67-4BB7-97E9-C38F86400478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AD67-4BB7-97E9-C38F86400478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AD67-4BB7-97E9-C38F86400478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AD67-4BB7-97E9-C38F86400478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AD67-4BB7-97E9-C38F86400478}"/>
              </c:ext>
            </c:extLst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AD67-4BB7-97E9-C38F86400478}"/>
              </c:ext>
            </c:extLst>
          </c:dPt>
          <c:dPt>
            <c:idx val="9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AD67-4BB7-97E9-C38F86400478}"/>
              </c:ext>
            </c:extLst>
          </c:dPt>
          <c:dPt>
            <c:idx val="10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AD67-4BB7-97E9-C38F86400478}"/>
              </c:ext>
            </c:extLst>
          </c:dPt>
          <c:dPt>
            <c:idx val="11"/>
            <c:bubble3D val="0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AD67-4BB7-97E9-C38F86400478}"/>
              </c:ext>
            </c:extLst>
          </c:dPt>
          <c:dPt>
            <c:idx val="12"/>
            <c:bubble3D val="0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9-AD67-4BB7-97E9-C38F86400478}"/>
              </c:ext>
            </c:extLst>
          </c:dPt>
          <c:dPt>
            <c:idx val="13"/>
            <c:bubble3D val="0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B-AD67-4BB7-97E9-C38F86400478}"/>
              </c:ext>
            </c:extLst>
          </c:dPt>
          <c:dPt>
            <c:idx val="14"/>
            <c:bubble3D val="0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D-AD67-4BB7-97E9-C38F86400478}"/>
              </c:ext>
            </c:extLst>
          </c:dPt>
          <c:dPt>
            <c:idx val="15"/>
            <c:bubble3D val="0"/>
            <c:spPr>
              <a:gradFill rotWithShape="1">
                <a:gsLst>
                  <a:gs pos="0">
                    <a:schemeClr val="accent4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F-AD67-4BB7-97E9-C38F86400478}"/>
              </c:ext>
            </c:extLst>
          </c:dPt>
          <c:dPt>
            <c:idx val="16"/>
            <c:bubble3D val="0"/>
            <c:spPr>
              <a:gradFill rotWithShape="1">
                <a:gsLst>
                  <a:gs pos="0">
                    <a:schemeClr val="accent5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1-A42D-487C-9E23-58261B998FD4}"/>
              </c:ext>
            </c:extLst>
          </c:dPt>
          <c:cat>
            <c:strRef>
              <c:f>Year!$A$3:$A$20</c:f>
              <c:strCache>
                <c:ptCount val="17"/>
                <c:pt idx="0">
                  <c:v>AMAZON</c:v>
                </c:pt>
                <c:pt idx="1">
                  <c:v>ATM FEE</c:v>
                </c:pt>
                <c:pt idx="2">
                  <c:v>CAR INSURANCE</c:v>
                </c:pt>
                <c:pt idx="3">
                  <c:v>CAR MAINTENANCE</c:v>
                </c:pt>
                <c:pt idx="4">
                  <c:v>CAR PAYMENT</c:v>
                </c:pt>
                <c:pt idx="5">
                  <c:v>CARD PAYMENT</c:v>
                </c:pt>
                <c:pt idx="6">
                  <c:v>EDUCATION</c:v>
                </c:pt>
                <c:pt idx="7">
                  <c:v>ENTERTAINMENT</c:v>
                </c:pt>
                <c:pt idx="8">
                  <c:v>FAST FOOD</c:v>
                </c:pt>
                <c:pt idx="9">
                  <c:v>FUEL</c:v>
                </c:pt>
                <c:pt idx="10">
                  <c:v>INCOME</c:v>
                </c:pt>
                <c:pt idx="11">
                  <c:v>ONLINE FILES</c:v>
                </c:pt>
                <c:pt idx="12">
                  <c:v>OVERDRAFT FEE</c:v>
                </c:pt>
                <c:pt idx="13">
                  <c:v>TAX REFUND</c:v>
                </c:pt>
                <c:pt idx="14">
                  <c:v>(blank)</c:v>
                </c:pt>
                <c:pt idx="15">
                  <c:v>REFUND</c:v>
                </c:pt>
                <c:pt idx="16">
                  <c:v>GROCERIES</c:v>
                </c:pt>
              </c:strCache>
            </c:strRef>
          </c:cat>
          <c:val>
            <c:numRef>
              <c:f>Year!$B$3:$B$20</c:f>
              <c:numCache>
                <c:formatCode>"$"#,##0.00</c:formatCode>
                <c:ptCount val="17"/>
                <c:pt idx="2">
                  <c:v>-246.78</c:v>
                </c:pt>
                <c:pt idx="4">
                  <c:v>-670.18000000000006</c:v>
                </c:pt>
                <c:pt idx="5">
                  <c:v>-14.95</c:v>
                </c:pt>
                <c:pt idx="6">
                  <c:v>-41.95</c:v>
                </c:pt>
                <c:pt idx="7">
                  <c:v>-33.959999999999994</c:v>
                </c:pt>
                <c:pt idx="8">
                  <c:v>-72.44</c:v>
                </c:pt>
                <c:pt idx="9">
                  <c:v>-180.93</c:v>
                </c:pt>
                <c:pt idx="10">
                  <c:v>977.8</c:v>
                </c:pt>
                <c:pt idx="11">
                  <c:v>-1.99</c:v>
                </c:pt>
                <c:pt idx="14">
                  <c:v>124.52000000000002</c:v>
                </c:pt>
                <c:pt idx="16">
                  <c:v>-3.64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81-4F4C-B925-B78C0CEE3702}"/>
            </c:ext>
          </c:extLst>
        </c:ser>
        <c:ser>
          <c:idx val="1"/>
          <c:order val="1"/>
          <c:tx>
            <c:strRef>
              <c:f>Year!$C$1:$C$2</c:f>
              <c:strCache>
                <c:ptCount val="1"/>
                <c:pt idx="0">
                  <c:v>February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1-AD67-4BB7-97E9-C38F86400478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3-AD67-4BB7-97E9-C38F86400478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5-AD67-4BB7-97E9-C38F86400478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7-AD67-4BB7-97E9-C38F86400478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9-AD67-4BB7-97E9-C38F86400478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B-AD67-4BB7-97E9-C38F86400478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D-AD67-4BB7-97E9-C38F86400478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F-AD67-4BB7-97E9-C38F86400478}"/>
              </c:ext>
            </c:extLst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1-AD67-4BB7-97E9-C38F86400478}"/>
              </c:ext>
            </c:extLst>
          </c:dPt>
          <c:dPt>
            <c:idx val="9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3-AD67-4BB7-97E9-C38F86400478}"/>
              </c:ext>
            </c:extLst>
          </c:dPt>
          <c:dPt>
            <c:idx val="10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5-AD67-4BB7-97E9-C38F86400478}"/>
              </c:ext>
            </c:extLst>
          </c:dPt>
          <c:dPt>
            <c:idx val="11"/>
            <c:bubble3D val="0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7-AD67-4BB7-97E9-C38F86400478}"/>
              </c:ext>
            </c:extLst>
          </c:dPt>
          <c:dPt>
            <c:idx val="12"/>
            <c:bubble3D val="0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9-AD67-4BB7-97E9-C38F86400478}"/>
              </c:ext>
            </c:extLst>
          </c:dPt>
          <c:dPt>
            <c:idx val="13"/>
            <c:bubble3D val="0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B-AD67-4BB7-97E9-C38F86400478}"/>
              </c:ext>
            </c:extLst>
          </c:dPt>
          <c:dPt>
            <c:idx val="14"/>
            <c:bubble3D val="0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D-AD67-4BB7-97E9-C38F86400478}"/>
              </c:ext>
            </c:extLst>
          </c:dPt>
          <c:dPt>
            <c:idx val="15"/>
            <c:bubble3D val="0"/>
            <c:spPr>
              <a:gradFill rotWithShape="1">
                <a:gsLst>
                  <a:gs pos="0">
                    <a:schemeClr val="accent4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F-AD67-4BB7-97E9-C38F86400478}"/>
              </c:ext>
            </c:extLst>
          </c:dPt>
          <c:dPt>
            <c:idx val="16"/>
            <c:bubble3D val="0"/>
            <c:spPr>
              <a:gradFill rotWithShape="1">
                <a:gsLst>
                  <a:gs pos="0">
                    <a:schemeClr val="accent5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3-A42D-487C-9E23-58261B998FD4}"/>
              </c:ext>
            </c:extLst>
          </c:dPt>
          <c:cat>
            <c:strRef>
              <c:f>Year!$A$3:$A$20</c:f>
              <c:strCache>
                <c:ptCount val="17"/>
                <c:pt idx="0">
                  <c:v>AMAZON</c:v>
                </c:pt>
                <c:pt idx="1">
                  <c:v>ATM FEE</c:v>
                </c:pt>
                <c:pt idx="2">
                  <c:v>CAR INSURANCE</c:v>
                </c:pt>
                <c:pt idx="3">
                  <c:v>CAR MAINTENANCE</c:v>
                </c:pt>
                <c:pt idx="4">
                  <c:v>CAR PAYMENT</c:v>
                </c:pt>
                <c:pt idx="5">
                  <c:v>CARD PAYMENT</c:v>
                </c:pt>
                <c:pt idx="6">
                  <c:v>EDUCATION</c:v>
                </c:pt>
                <c:pt idx="7">
                  <c:v>ENTERTAINMENT</c:v>
                </c:pt>
                <c:pt idx="8">
                  <c:v>FAST FOOD</c:v>
                </c:pt>
                <c:pt idx="9">
                  <c:v>FUEL</c:v>
                </c:pt>
                <c:pt idx="10">
                  <c:v>INCOME</c:v>
                </c:pt>
                <c:pt idx="11">
                  <c:v>ONLINE FILES</c:v>
                </c:pt>
                <c:pt idx="12">
                  <c:v>OVERDRAFT FEE</c:v>
                </c:pt>
                <c:pt idx="13">
                  <c:v>TAX REFUND</c:v>
                </c:pt>
                <c:pt idx="14">
                  <c:v>(blank)</c:v>
                </c:pt>
                <c:pt idx="15">
                  <c:v>REFUND</c:v>
                </c:pt>
                <c:pt idx="16">
                  <c:v>GROCERIES</c:v>
                </c:pt>
              </c:strCache>
            </c:strRef>
          </c:cat>
          <c:val>
            <c:numRef>
              <c:f>Year!$C$3:$C$20</c:f>
              <c:numCache>
                <c:formatCode>"$"#,##0.00</c:formatCode>
                <c:ptCount val="17"/>
                <c:pt idx="0">
                  <c:v>-36.04</c:v>
                </c:pt>
                <c:pt idx="4">
                  <c:v>-336.39</c:v>
                </c:pt>
                <c:pt idx="5">
                  <c:v>-128.94999999999999</c:v>
                </c:pt>
                <c:pt idx="6">
                  <c:v>-19.97</c:v>
                </c:pt>
                <c:pt idx="7">
                  <c:v>-161.39000000000001</c:v>
                </c:pt>
                <c:pt idx="8">
                  <c:v>-81.819999999999993</c:v>
                </c:pt>
                <c:pt idx="9">
                  <c:v>-153.32</c:v>
                </c:pt>
                <c:pt idx="10">
                  <c:v>997.74</c:v>
                </c:pt>
                <c:pt idx="11">
                  <c:v>-1.99</c:v>
                </c:pt>
                <c:pt idx="12">
                  <c:v>56.5</c:v>
                </c:pt>
                <c:pt idx="13">
                  <c:v>1344</c:v>
                </c:pt>
                <c:pt idx="14">
                  <c:v>-939.56</c:v>
                </c:pt>
                <c:pt idx="16">
                  <c:v>-22.25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81-4F4C-B925-B78C0CEE3702}"/>
            </c:ext>
          </c:extLst>
        </c:ser>
        <c:ser>
          <c:idx val="2"/>
          <c:order val="2"/>
          <c:tx>
            <c:strRef>
              <c:f>Year!$D$1:$D$2</c:f>
              <c:strCache>
                <c:ptCount val="1"/>
                <c:pt idx="0">
                  <c:v>March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1-AD67-4BB7-97E9-C38F86400478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3-AD67-4BB7-97E9-C38F86400478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5-AD67-4BB7-97E9-C38F86400478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7-AD67-4BB7-97E9-C38F86400478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9-AD67-4BB7-97E9-C38F86400478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B-AD67-4BB7-97E9-C38F86400478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D-AD67-4BB7-97E9-C38F86400478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F-AD67-4BB7-97E9-C38F86400478}"/>
              </c:ext>
            </c:extLst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1-AD67-4BB7-97E9-C38F86400478}"/>
              </c:ext>
            </c:extLst>
          </c:dPt>
          <c:dPt>
            <c:idx val="9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3-AD67-4BB7-97E9-C38F86400478}"/>
              </c:ext>
            </c:extLst>
          </c:dPt>
          <c:dPt>
            <c:idx val="10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5-AD67-4BB7-97E9-C38F86400478}"/>
              </c:ext>
            </c:extLst>
          </c:dPt>
          <c:dPt>
            <c:idx val="11"/>
            <c:bubble3D val="0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7-AD67-4BB7-97E9-C38F86400478}"/>
              </c:ext>
            </c:extLst>
          </c:dPt>
          <c:dPt>
            <c:idx val="12"/>
            <c:bubble3D val="0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9-AD67-4BB7-97E9-C38F86400478}"/>
              </c:ext>
            </c:extLst>
          </c:dPt>
          <c:dPt>
            <c:idx val="13"/>
            <c:bubble3D val="0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B-AD67-4BB7-97E9-C38F86400478}"/>
              </c:ext>
            </c:extLst>
          </c:dPt>
          <c:dPt>
            <c:idx val="14"/>
            <c:bubble3D val="0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D-AD67-4BB7-97E9-C38F86400478}"/>
              </c:ext>
            </c:extLst>
          </c:dPt>
          <c:dPt>
            <c:idx val="15"/>
            <c:bubble3D val="0"/>
            <c:spPr>
              <a:gradFill rotWithShape="1">
                <a:gsLst>
                  <a:gs pos="0">
                    <a:schemeClr val="accent4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F-AD67-4BB7-97E9-C38F86400478}"/>
              </c:ext>
            </c:extLst>
          </c:dPt>
          <c:dPt>
            <c:idx val="16"/>
            <c:bubble3D val="0"/>
            <c:spPr>
              <a:gradFill rotWithShape="1">
                <a:gsLst>
                  <a:gs pos="0">
                    <a:schemeClr val="accent5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65-A42D-487C-9E23-58261B998FD4}"/>
              </c:ext>
            </c:extLst>
          </c:dPt>
          <c:cat>
            <c:strRef>
              <c:f>Year!$A$3:$A$20</c:f>
              <c:strCache>
                <c:ptCount val="17"/>
                <c:pt idx="0">
                  <c:v>AMAZON</c:v>
                </c:pt>
                <c:pt idx="1">
                  <c:v>ATM FEE</c:v>
                </c:pt>
                <c:pt idx="2">
                  <c:v>CAR INSURANCE</c:v>
                </c:pt>
                <c:pt idx="3">
                  <c:v>CAR MAINTENANCE</c:v>
                </c:pt>
                <c:pt idx="4">
                  <c:v>CAR PAYMENT</c:v>
                </c:pt>
                <c:pt idx="5">
                  <c:v>CARD PAYMENT</c:v>
                </c:pt>
                <c:pt idx="6">
                  <c:v>EDUCATION</c:v>
                </c:pt>
                <c:pt idx="7">
                  <c:v>ENTERTAINMENT</c:v>
                </c:pt>
                <c:pt idx="8">
                  <c:v>FAST FOOD</c:v>
                </c:pt>
                <c:pt idx="9">
                  <c:v>FUEL</c:v>
                </c:pt>
                <c:pt idx="10">
                  <c:v>INCOME</c:v>
                </c:pt>
                <c:pt idx="11">
                  <c:v>ONLINE FILES</c:v>
                </c:pt>
                <c:pt idx="12">
                  <c:v>OVERDRAFT FEE</c:v>
                </c:pt>
                <c:pt idx="13">
                  <c:v>TAX REFUND</c:v>
                </c:pt>
                <c:pt idx="14">
                  <c:v>(blank)</c:v>
                </c:pt>
                <c:pt idx="15">
                  <c:v>REFUND</c:v>
                </c:pt>
                <c:pt idx="16">
                  <c:v>GROCERIES</c:v>
                </c:pt>
              </c:strCache>
            </c:strRef>
          </c:cat>
          <c:val>
            <c:numRef>
              <c:f>Year!$D$3:$D$20</c:f>
              <c:numCache>
                <c:formatCode>"$"#,##0.00</c:formatCode>
                <c:ptCount val="17"/>
                <c:pt idx="0">
                  <c:v>-325.99</c:v>
                </c:pt>
                <c:pt idx="2">
                  <c:v>-250.2</c:v>
                </c:pt>
                <c:pt idx="3">
                  <c:v>-4.88</c:v>
                </c:pt>
                <c:pt idx="4">
                  <c:v>-336.39</c:v>
                </c:pt>
                <c:pt idx="5">
                  <c:v>-253.95</c:v>
                </c:pt>
                <c:pt idx="6">
                  <c:v>-22.48</c:v>
                </c:pt>
                <c:pt idx="7">
                  <c:v>-57.95</c:v>
                </c:pt>
                <c:pt idx="8">
                  <c:v>-67.409999999999982</c:v>
                </c:pt>
                <c:pt idx="9">
                  <c:v>-190.15</c:v>
                </c:pt>
                <c:pt idx="10">
                  <c:v>811.74</c:v>
                </c:pt>
                <c:pt idx="14">
                  <c:v>-2268.67</c:v>
                </c:pt>
                <c:pt idx="15">
                  <c:v>247.32</c:v>
                </c:pt>
                <c:pt idx="16">
                  <c:v>-18.22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81-4F4C-B925-B78C0CEE3702}"/>
            </c:ext>
          </c:extLst>
        </c:ser>
        <c:ser>
          <c:idx val="3"/>
          <c:order val="3"/>
          <c:tx>
            <c:strRef>
              <c:f>Year!$E$1:$E$2</c:f>
              <c:strCache>
                <c:ptCount val="1"/>
                <c:pt idx="0">
                  <c:v>April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61-AD67-4BB7-97E9-C38F86400478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63-AD67-4BB7-97E9-C38F86400478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65-AD67-4BB7-97E9-C38F86400478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67-AD67-4BB7-97E9-C38F86400478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69-AD67-4BB7-97E9-C38F86400478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6B-AD67-4BB7-97E9-C38F86400478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6D-AD67-4BB7-97E9-C38F86400478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6F-AD67-4BB7-97E9-C38F86400478}"/>
              </c:ext>
            </c:extLst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71-AD67-4BB7-97E9-C38F86400478}"/>
              </c:ext>
            </c:extLst>
          </c:dPt>
          <c:dPt>
            <c:idx val="9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73-AD67-4BB7-97E9-C38F86400478}"/>
              </c:ext>
            </c:extLst>
          </c:dPt>
          <c:dPt>
            <c:idx val="10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75-AD67-4BB7-97E9-C38F86400478}"/>
              </c:ext>
            </c:extLst>
          </c:dPt>
          <c:dPt>
            <c:idx val="11"/>
            <c:bubble3D val="0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77-AD67-4BB7-97E9-C38F86400478}"/>
              </c:ext>
            </c:extLst>
          </c:dPt>
          <c:dPt>
            <c:idx val="12"/>
            <c:bubble3D val="0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79-AD67-4BB7-97E9-C38F86400478}"/>
              </c:ext>
            </c:extLst>
          </c:dPt>
          <c:dPt>
            <c:idx val="13"/>
            <c:bubble3D val="0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7B-AD67-4BB7-97E9-C38F86400478}"/>
              </c:ext>
            </c:extLst>
          </c:dPt>
          <c:dPt>
            <c:idx val="14"/>
            <c:bubble3D val="0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7D-AD67-4BB7-97E9-C38F86400478}"/>
              </c:ext>
            </c:extLst>
          </c:dPt>
          <c:dPt>
            <c:idx val="15"/>
            <c:bubble3D val="0"/>
            <c:spPr>
              <a:gradFill rotWithShape="1">
                <a:gsLst>
                  <a:gs pos="0">
                    <a:schemeClr val="accent4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7F-AD67-4BB7-97E9-C38F86400478}"/>
              </c:ext>
            </c:extLst>
          </c:dPt>
          <c:dPt>
            <c:idx val="16"/>
            <c:bubble3D val="0"/>
            <c:spPr>
              <a:gradFill rotWithShape="1">
                <a:gsLst>
                  <a:gs pos="0">
                    <a:schemeClr val="accent5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87-A42D-487C-9E23-58261B998FD4}"/>
              </c:ext>
            </c:extLst>
          </c:dPt>
          <c:cat>
            <c:strRef>
              <c:f>Year!$A$3:$A$20</c:f>
              <c:strCache>
                <c:ptCount val="17"/>
                <c:pt idx="0">
                  <c:v>AMAZON</c:v>
                </c:pt>
                <c:pt idx="1">
                  <c:v>ATM FEE</c:v>
                </c:pt>
                <c:pt idx="2">
                  <c:v>CAR INSURANCE</c:v>
                </c:pt>
                <c:pt idx="3">
                  <c:v>CAR MAINTENANCE</c:v>
                </c:pt>
                <c:pt idx="4">
                  <c:v>CAR PAYMENT</c:v>
                </c:pt>
                <c:pt idx="5">
                  <c:v>CARD PAYMENT</c:v>
                </c:pt>
                <c:pt idx="6">
                  <c:v>EDUCATION</c:v>
                </c:pt>
                <c:pt idx="7">
                  <c:v>ENTERTAINMENT</c:v>
                </c:pt>
                <c:pt idx="8">
                  <c:v>FAST FOOD</c:v>
                </c:pt>
                <c:pt idx="9">
                  <c:v>FUEL</c:v>
                </c:pt>
                <c:pt idx="10">
                  <c:v>INCOME</c:v>
                </c:pt>
                <c:pt idx="11">
                  <c:v>ONLINE FILES</c:v>
                </c:pt>
                <c:pt idx="12">
                  <c:v>OVERDRAFT FEE</c:v>
                </c:pt>
                <c:pt idx="13">
                  <c:v>TAX REFUND</c:v>
                </c:pt>
                <c:pt idx="14">
                  <c:v>(blank)</c:v>
                </c:pt>
                <c:pt idx="15">
                  <c:v>REFUND</c:v>
                </c:pt>
                <c:pt idx="16">
                  <c:v>GROCERIES</c:v>
                </c:pt>
              </c:strCache>
            </c:strRef>
          </c:cat>
          <c:val>
            <c:numRef>
              <c:f>Year!$E$3:$E$20</c:f>
              <c:numCache>
                <c:formatCode>"$"#,##0.00</c:formatCode>
                <c:ptCount val="17"/>
                <c:pt idx="4">
                  <c:v>-336.39</c:v>
                </c:pt>
                <c:pt idx="5">
                  <c:v>-14.95</c:v>
                </c:pt>
                <c:pt idx="6">
                  <c:v>-24.98</c:v>
                </c:pt>
                <c:pt idx="7">
                  <c:v>-20.98</c:v>
                </c:pt>
                <c:pt idx="8">
                  <c:v>-83.02000000000001</c:v>
                </c:pt>
                <c:pt idx="9">
                  <c:v>-156.75</c:v>
                </c:pt>
                <c:pt idx="10">
                  <c:v>873.58</c:v>
                </c:pt>
                <c:pt idx="14">
                  <c:v>-766.98999999999978</c:v>
                </c:pt>
                <c:pt idx="16">
                  <c:v>-42.940000000000005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681-4F4C-B925-B78C0CEE3702}"/>
            </c:ext>
          </c:extLst>
        </c:ser>
        <c:ser>
          <c:idx val="4"/>
          <c:order val="4"/>
          <c:tx>
            <c:strRef>
              <c:f>Year!$F$1:$F$2</c:f>
              <c:strCache>
                <c:ptCount val="1"/>
                <c:pt idx="0">
                  <c:v>May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81-AD67-4BB7-97E9-C38F86400478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83-AD67-4BB7-97E9-C38F86400478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85-AD67-4BB7-97E9-C38F86400478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87-AD67-4BB7-97E9-C38F86400478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89-AD67-4BB7-97E9-C38F86400478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8B-AD67-4BB7-97E9-C38F86400478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8D-AD67-4BB7-97E9-C38F86400478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8F-AD67-4BB7-97E9-C38F86400478}"/>
              </c:ext>
            </c:extLst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91-AD67-4BB7-97E9-C38F86400478}"/>
              </c:ext>
            </c:extLst>
          </c:dPt>
          <c:dPt>
            <c:idx val="9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93-AD67-4BB7-97E9-C38F86400478}"/>
              </c:ext>
            </c:extLst>
          </c:dPt>
          <c:dPt>
            <c:idx val="10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95-AD67-4BB7-97E9-C38F86400478}"/>
              </c:ext>
            </c:extLst>
          </c:dPt>
          <c:dPt>
            <c:idx val="11"/>
            <c:bubble3D val="0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97-AD67-4BB7-97E9-C38F86400478}"/>
              </c:ext>
            </c:extLst>
          </c:dPt>
          <c:dPt>
            <c:idx val="12"/>
            <c:bubble3D val="0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99-AD67-4BB7-97E9-C38F86400478}"/>
              </c:ext>
            </c:extLst>
          </c:dPt>
          <c:dPt>
            <c:idx val="13"/>
            <c:bubble3D val="0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9B-AD67-4BB7-97E9-C38F86400478}"/>
              </c:ext>
            </c:extLst>
          </c:dPt>
          <c:dPt>
            <c:idx val="14"/>
            <c:bubble3D val="0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9D-AD67-4BB7-97E9-C38F86400478}"/>
              </c:ext>
            </c:extLst>
          </c:dPt>
          <c:dPt>
            <c:idx val="15"/>
            <c:bubble3D val="0"/>
            <c:spPr>
              <a:gradFill rotWithShape="1">
                <a:gsLst>
                  <a:gs pos="0">
                    <a:schemeClr val="accent4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9F-AD67-4BB7-97E9-C38F86400478}"/>
              </c:ext>
            </c:extLst>
          </c:dPt>
          <c:dPt>
            <c:idx val="16"/>
            <c:bubble3D val="0"/>
            <c:spPr>
              <a:gradFill rotWithShape="1">
                <a:gsLst>
                  <a:gs pos="0">
                    <a:schemeClr val="accent5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A9-A42D-487C-9E23-58261B998FD4}"/>
              </c:ext>
            </c:extLst>
          </c:dPt>
          <c:cat>
            <c:strRef>
              <c:f>Year!$A$3:$A$20</c:f>
              <c:strCache>
                <c:ptCount val="17"/>
                <c:pt idx="0">
                  <c:v>AMAZON</c:v>
                </c:pt>
                <c:pt idx="1">
                  <c:v>ATM FEE</c:v>
                </c:pt>
                <c:pt idx="2">
                  <c:v>CAR INSURANCE</c:v>
                </c:pt>
                <c:pt idx="3">
                  <c:v>CAR MAINTENANCE</c:v>
                </c:pt>
                <c:pt idx="4">
                  <c:v>CAR PAYMENT</c:v>
                </c:pt>
                <c:pt idx="5">
                  <c:v>CARD PAYMENT</c:v>
                </c:pt>
                <c:pt idx="6">
                  <c:v>EDUCATION</c:v>
                </c:pt>
                <c:pt idx="7">
                  <c:v>ENTERTAINMENT</c:v>
                </c:pt>
                <c:pt idx="8">
                  <c:v>FAST FOOD</c:v>
                </c:pt>
                <c:pt idx="9">
                  <c:v>FUEL</c:v>
                </c:pt>
                <c:pt idx="10">
                  <c:v>INCOME</c:v>
                </c:pt>
                <c:pt idx="11">
                  <c:v>ONLINE FILES</c:v>
                </c:pt>
                <c:pt idx="12">
                  <c:v>OVERDRAFT FEE</c:v>
                </c:pt>
                <c:pt idx="13">
                  <c:v>TAX REFUND</c:v>
                </c:pt>
                <c:pt idx="14">
                  <c:v>(blank)</c:v>
                </c:pt>
                <c:pt idx="15">
                  <c:v>REFUND</c:v>
                </c:pt>
                <c:pt idx="16">
                  <c:v>GROCERIES</c:v>
                </c:pt>
              </c:strCache>
            </c:strRef>
          </c:cat>
          <c:val>
            <c:numRef>
              <c:f>Year!$F$3:$F$20</c:f>
              <c:numCache>
                <c:formatCode>"$"#,##0.00</c:formatCode>
                <c:ptCount val="17"/>
                <c:pt idx="0">
                  <c:v>-463.1</c:v>
                </c:pt>
                <c:pt idx="1">
                  <c:v>-1.5</c:v>
                </c:pt>
                <c:pt idx="2">
                  <c:v>-409.08</c:v>
                </c:pt>
                <c:pt idx="3">
                  <c:v>-162.36000000000001</c:v>
                </c:pt>
                <c:pt idx="4">
                  <c:v>-336.39</c:v>
                </c:pt>
                <c:pt idx="5">
                  <c:v>-114.95</c:v>
                </c:pt>
                <c:pt idx="6">
                  <c:v>-11.99</c:v>
                </c:pt>
                <c:pt idx="8">
                  <c:v>-45.71</c:v>
                </c:pt>
                <c:pt idx="9">
                  <c:v>-47.91</c:v>
                </c:pt>
                <c:pt idx="10">
                  <c:v>1762.11</c:v>
                </c:pt>
                <c:pt idx="12">
                  <c:v>-37</c:v>
                </c:pt>
                <c:pt idx="14">
                  <c:v>-530.87</c:v>
                </c:pt>
                <c:pt idx="16">
                  <c:v>-31.56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681-4F4C-B925-B78C0CEE3702}"/>
            </c:ext>
          </c:extLst>
        </c:ser>
        <c:ser>
          <c:idx val="5"/>
          <c:order val="5"/>
          <c:tx>
            <c:strRef>
              <c:f>Year!$G$1:$G$2</c:f>
              <c:strCache>
                <c:ptCount val="1"/>
                <c:pt idx="0">
                  <c:v>June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A1-AD67-4BB7-97E9-C38F86400478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A3-AD67-4BB7-97E9-C38F86400478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A5-AD67-4BB7-97E9-C38F86400478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A7-AD67-4BB7-97E9-C38F86400478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A9-AD67-4BB7-97E9-C38F86400478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AB-AD67-4BB7-97E9-C38F86400478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AD-AD67-4BB7-97E9-C38F86400478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AF-AD67-4BB7-97E9-C38F86400478}"/>
              </c:ext>
            </c:extLst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B1-AD67-4BB7-97E9-C38F86400478}"/>
              </c:ext>
            </c:extLst>
          </c:dPt>
          <c:dPt>
            <c:idx val="9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B3-AD67-4BB7-97E9-C38F86400478}"/>
              </c:ext>
            </c:extLst>
          </c:dPt>
          <c:dPt>
            <c:idx val="10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B5-AD67-4BB7-97E9-C38F86400478}"/>
              </c:ext>
            </c:extLst>
          </c:dPt>
          <c:dPt>
            <c:idx val="11"/>
            <c:bubble3D val="0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B7-AD67-4BB7-97E9-C38F86400478}"/>
              </c:ext>
            </c:extLst>
          </c:dPt>
          <c:dPt>
            <c:idx val="12"/>
            <c:bubble3D val="0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B9-AD67-4BB7-97E9-C38F86400478}"/>
              </c:ext>
            </c:extLst>
          </c:dPt>
          <c:dPt>
            <c:idx val="13"/>
            <c:bubble3D val="0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BB-AD67-4BB7-97E9-C38F86400478}"/>
              </c:ext>
            </c:extLst>
          </c:dPt>
          <c:dPt>
            <c:idx val="14"/>
            <c:bubble3D val="0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BD-AD67-4BB7-97E9-C38F86400478}"/>
              </c:ext>
            </c:extLst>
          </c:dPt>
          <c:dPt>
            <c:idx val="15"/>
            <c:bubble3D val="0"/>
            <c:spPr>
              <a:gradFill rotWithShape="1">
                <a:gsLst>
                  <a:gs pos="0">
                    <a:schemeClr val="accent4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BF-AD67-4BB7-97E9-C38F86400478}"/>
              </c:ext>
            </c:extLst>
          </c:dPt>
          <c:dPt>
            <c:idx val="16"/>
            <c:bubble3D val="0"/>
            <c:spPr>
              <a:gradFill rotWithShape="1">
                <a:gsLst>
                  <a:gs pos="0">
                    <a:schemeClr val="accent5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CB-A42D-487C-9E23-58261B998FD4}"/>
              </c:ext>
            </c:extLst>
          </c:dPt>
          <c:cat>
            <c:strRef>
              <c:f>Year!$A$3:$A$20</c:f>
              <c:strCache>
                <c:ptCount val="17"/>
                <c:pt idx="0">
                  <c:v>AMAZON</c:v>
                </c:pt>
                <c:pt idx="1">
                  <c:v>ATM FEE</c:v>
                </c:pt>
                <c:pt idx="2">
                  <c:v>CAR INSURANCE</c:v>
                </c:pt>
                <c:pt idx="3">
                  <c:v>CAR MAINTENANCE</c:v>
                </c:pt>
                <c:pt idx="4">
                  <c:v>CAR PAYMENT</c:v>
                </c:pt>
                <c:pt idx="5">
                  <c:v>CARD PAYMENT</c:v>
                </c:pt>
                <c:pt idx="6">
                  <c:v>EDUCATION</c:v>
                </c:pt>
                <c:pt idx="7">
                  <c:v>ENTERTAINMENT</c:v>
                </c:pt>
                <c:pt idx="8">
                  <c:v>FAST FOOD</c:v>
                </c:pt>
                <c:pt idx="9">
                  <c:v>FUEL</c:v>
                </c:pt>
                <c:pt idx="10">
                  <c:v>INCOME</c:v>
                </c:pt>
                <c:pt idx="11">
                  <c:v>ONLINE FILES</c:v>
                </c:pt>
                <c:pt idx="12">
                  <c:v>OVERDRAFT FEE</c:v>
                </c:pt>
                <c:pt idx="13">
                  <c:v>TAX REFUND</c:v>
                </c:pt>
                <c:pt idx="14">
                  <c:v>(blank)</c:v>
                </c:pt>
                <c:pt idx="15">
                  <c:v>REFUND</c:v>
                </c:pt>
                <c:pt idx="16">
                  <c:v>GROCERIES</c:v>
                </c:pt>
              </c:strCache>
            </c:strRef>
          </c:cat>
          <c:val>
            <c:numRef>
              <c:f>Year!$G$3:$G$20</c:f>
              <c:numCache>
                <c:formatCode>"$"#,##0.00</c:formatCode>
                <c:ptCount val="17"/>
                <c:pt idx="2">
                  <c:v>-204.53</c:v>
                </c:pt>
                <c:pt idx="4">
                  <c:v>-336.39</c:v>
                </c:pt>
                <c:pt idx="5">
                  <c:v>-2146.17</c:v>
                </c:pt>
                <c:pt idx="10">
                  <c:v>883.51</c:v>
                </c:pt>
                <c:pt idx="14">
                  <c:v>1762.94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681-4F4C-B925-B78C0CEE3702}"/>
            </c:ext>
          </c:extLst>
        </c:ser>
        <c:ser>
          <c:idx val="6"/>
          <c:order val="6"/>
          <c:tx>
            <c:strRef>
              <c:f>Year!$H$1:$H$2</c:f>
              <c:strCache>
                <c:ptCount val="1"/>
                <c:pt idx="0">
                  <c:v>July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C1-AD67-4BB7-97E9-C38F86400478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C3-AD67-4BB7-97E9-C38F86400478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C5-AD67-4BB7-97E9-C38F86400478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C7-AD67-4BB7-97E9-C38F86400478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C9-AD67-4BB7-97E9-C38F86400478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CB-AD67-4BB7-97E9-C38F86400478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CD-AD67-4BB7-97E9-C38F86400478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CF-AD67-4BB7-97E9-C38F86400478}"/>
              </c:ext>
            </c:extLst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D1-AD67-4BB7-97E9-C38F86400478}"/>
              </c:ext>
            </c:extLst>
          </c:dPt>
          <c:dPt>
            <c:idx val="9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D3-AD67-4BB7-97E9-C38F86400478}"/>
              </c:ext>
            </c:extLst>
          </c:dPt>
          <c:dPt>
            <c:idx val="10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D5-AD67-4BB7-97E9-C38F86400478}"/>
              </c:ext>
            </c:extLst>
          </c:dPt>
          <c:dPt>
            <c:idx val="11"/>
            <c:bubble3D val="0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D7-AD67-4BB7-97E9-C38F86400478}"/>
              </c:ext>
            </c:extLst>
          </c:dPt>
          <c:dPt>
            <c:idx val="12"/>
            <c:bubble3D val="0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D9-AD67-4BB7-97E9-C38F86400478}"/>
              </c:ext>
            </c:extLst>
          </c:dPt>
          <c:dPt>
            <c:idx val="13"/>
            <c:bubble3D val="0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DB-AD67-4BB7-97E9-C38F86400478}"/>
              </c:ext>
            </c:extLst>
          </c:dPt>
          <c:dPt>
            <c:idx val="14"/>
            <c:bubble3D val="0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DD-AD67-4BB7-97E9-C38F86400478}"/>
              </c:ext>
            </c:extLst>
          </c:dPt>
          <c:dPt>
            <c:idx val="15"/>
            <c:bubble3D val="0"/>
            <c:spPr>
              <a:gradFill rotWithShape="1">
                <a:gsLst>
                  <a:gs pos="0">
                    <a:schemeClr val="accent4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DF-AD67-4BB7-97E9-C38F86400478}"/>
              </c:ext>
            </c:extLst>
          </c:dPt>
          <c:dPt>
            <c:idx val="16"/>
            <c:bubble3D val="0"/>
            <c:spPr>
              <a:gradFill rotWithShape="1">
                <a:gsLst>
                  <a:gs pos="0">
                    <a:schemeClr val="accent5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ED-A42D-487C-9E23-58261B998FD4}"/>
              </c:ext>
            </c:extLst>
          </c:dPt>
          <c:cat>
            <c:strRef>
              <c:f>Year!$A$3:$A$20</c:f>
              <c:strCache>
                <c:ptCount val="17"/>
                <c:pt idx="0">
                  <c:v>AMAZON</c:v>
                </c:pt>
                <c:pt idx="1">
                  <c:v>ATM FEE</c:v>
                </c:pt>
                <c:pt idx="2">
                  <c:v>CAR INSURANCE</c:v>
                </c:pt>
                <c:pt idx="3">
                  <c:v>CAR MAINTENANCE</c:v>
                </c:pt>
                <c:pt idx="4">
                  <c:v>CAR PAYMENT</c:v>
                </c:pt>
                <c:pt idx="5">
                  <c:v>CARD PAYMENT</c:v>
                </c:pt>
                <c:pt idx="6">
                  <c:v>EDUCATION</c:v>
                </c:pt>
                <c:pt idx="7">
                  <c:v>ENTERTAINMENT</c:v>
                </c:pt>
                <c:pt idx="8">
                  <c:v>FAST FOOD</c:v>
                </c:pt>
                <c:pt idx="9">
                  <c:v>FUEL</c:v>
                </c:pt>
                <c:pt idx="10">
                  <c:v>INCOME</c:v>
                </c:pt>
                <c:pt idx="11">
                  <c:v>ONLINE FILES</c:v>
                </c:pt>
                <c:pt idx="12">
                  <c:v>OVERDRAFT FEE</c:v>
                </c:pt>
                <c:pt idx="13">
                  <c:v>TAX REFUND</c:v>
                </c:pt>
                <c:pt idx="14">
                  <c:v>(blank)</c:v>
                </c:pt>
                <c:pt idx="15">
                  <c:v>REFUND</c:v>
                </c:pt>
                <c:pt idx="16">
                  <c:v>GROCERIES</c:v>
                </c:pt>
              </c:strCache>
            </c:strRef>
          </c:cat>
          <c:val>
            <c:numRef>
              <c:f>Year!$H$3:$H$20</c:f>
              <c:numCache>
                <c:formatCode>"$"#,##0.00</c:formatCode>
                <c:ptCount val="17"/>
                <c:pt idx="2">
                  <c:v>-204.53</c:v>
                </c:pt>
                <c:pt idx="4">
                  <c:v>-336.39</c:v>
                </c:pt>
                <c:pt idx="5">
                  <c:v>-1582.8600000000001</c:v>
                </c:pt>
                <c:pt idx="10">
                  <c:v>1125.48</c:v>
                </c:pt>
                <c:pt idx="12">
                  <c:v>300</c:v>
                </c:pt>
                <c:pt idx="14">
                  <c:v>-50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681-4F4C-B925-B78C0CEE3702}"/>
            </c:ext>
          </c:extLst>
        </c:ser>
        <c:ser>
          <c:idx val="7"/>
          <c:order val="7"/>
          <c:tx>
            <c:strRef>
              <c:f>Year!$I$1:$I$2</c:f>
              <c:strCache>
                <c:ptCount val="1"/>
                <c:pt idx="0">
                  <c:v>August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E1-AD67-4BB7-97E9-C38F86400478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E3-AD67-4BB7-97E9-C38F86400478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E5-AD67-4BB7-97E9-C38F86400478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E7-AD67-4BB7-97E9-C38F86400478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E9-AD67-4BB7-97E9-C38F86400478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EB-AD67-4BB7-97E9-C38F86400478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ED-AD67-4BB7-97E9-C38F86400478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EF-AD67-4BB7-97E9-C38F86400478}"/>
              </c:ext>
            </c:extLst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F1-AD67-4BB7-97E9-C38F86400478}"/>
              </c:ext>
            </c:extLst>
          </c:dPt>
          <c:dPt>
            <c:idx val="9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F3-AD67-4BB7-97E9-C38F86400478}"/>
              </c:ext>
            </c:extLst>
          </c:dPt>
          <c:dPt>
            <c:idx val="10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F5-AD67-4BB7-97E9-C38F86400478}"/>
              </c:ext>
            </c:extLst>
          </c:dPt>
          <c:dPt>
            <c:idx val="11"/>
            <c:bubble3D val="0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F7-AD67-4BB7-97E9-C38F86400478}"/>
              </c:ext>
            </c:extLst>
          </c:dPt>
          <c:dPt>
            <c:idx val="12"/>
            <c:bubble3D val="0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F9-AD67-4BB7-97E9-C38F86400478}"/>
              </c:ext>
            </c:extLst>
          </c:dPt>
          <c:dPt>
            <c:idx val="13"/>
            <c:bubble3D val="0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FB-AD67-4BB7-97E9-C38F86400478}"/>
              </c:ext>
            </c:extLst>
          </c:dPt>
          <c:dPt>
            <c:idx val="14"/>
            <c:bubble3D val="0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FD-AD67-4BB7-97E9-C38F86400478}"/>
              </c:ext>
            </c:extLst>
          </c:dPt>
          <c:dPt>
            <c:idx val="15"/>
            <c:bubble3D val="0"/>
            <c:spPr>
              <a:gradFill rotWithShape="1">
                <a:gsLst>
                  <a:gs pos="0">
                    <a:schemeClr val="accent4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FF-AD67-4BB7-97E9-C38F86400478}"/>
              </c:ext>
            </c:extLst>
          </c:dPt>
          <c:dPt>
            <c:idx val="16"/>
            <c:bubble3D val="0"/>
            <c:spPr>
              <a:gradFill rotWithShape="1">
                <a:gsLst>
                  <a:gs pos="0">
                    <a:schemeClr val="accent5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10F-A42D-487C-9E23-58261B998FD4}"/>
              </c:ext>
            </c:extLst>
          </c:dPt>
          <c:cat>
            <c:strRef>
              <c:f>Year!$A$3:$A$20</c:f>
              <c:strCache>
                <c:ptCount val="17"/>
                <c:pt idx="0">
                  <c:v>AMAZON</c:v>
                </c:pt>
                <c:pt idx="1">
                  <c:v>ATM FEE</c:v>
                </c:pt>
                <c:pt idx="2">
                  <c:v>CAR INSURANCE</c:v>
                </c:pt>
                <c:pt idx="3">
                  <c:v>CAR MAINTENANCE</c:v>
                </c:pt>
                <c:pt idx="4">
                  <c:v>CAR PAYMENT</c:v>
                </c:pt>
                <c:pt idx="5">
                  <c:v>CARD PAYMENT</c:v>
                </c:pt>
                <c:pt idx="6">
                  <c:v>EDUCATION</c:v>
                </c:pt>
                <c:pt idx="7">
                  <c:v>ENTERTAINMENT</c:v>
                </c:pt>
                <c:pt idx="8">
                  <c:v>FAST FOOD</c:v>
                </c:pt>
                <c:pt idx="9">
                  <c:v>FUEL</c:v>
                </c:pt>
                <c:pt idx="10">
                  <c:v>INCOME</c:v>
                </c:pt>
                <c:pt idx="11">
                  <c:v>ONLINE FILES</c:v>
                </c:pt>
                <c:pt idx="12">
                  <c:v>OVERDRAFT FEE</c:v>
                </c:pt>
                <c:pt idx="13">
                  <c:v>TAX REFUND</c:v>
                </c:pt>
                <c:pt idx="14">
                  <c:v>(blank)</c:v>
                </c:pt>
                <c:pt idx="15">
                  <c:v>REFUND</c:v>
                </c:pt>
                <c:pt idx="16">
                  <c:v>GROCERIES</c:v>
                </c:pt>
              </c:strCache>
            </c:strRef>
          </c:cat>
          <c:val>
            <c:numRef>
              <c:f>Year!$I$3:$I$20</c:f>
              <c:numCache>
                <c:formatCode>"$"#,##0.00</c:formatCode>
                <c:ptCount val="17"/>
                <c:pt idx="1">
                  <c:v>-1.5</c:v>
                </c:pt>
                <c:pt idx="2">
                  <c:v>-204.53</c:v>
                </c:pt>
                <c:pt idx="4">
                  <c:v>-336.39</c:v>
                </c:pt>
                <c:pt idx="5">
                  <c:v>-1368.0300000000002</c:v>
                </c:pt>
                <c:pt idx="10">
                  <c:v>968.43999999999994</c:v>
                </c:pt>
                <c:pt idx="14">
                  <c:v>-22.5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681-4F4C-B925-B78C0CEE3702}"/>
            </c:ext>
          </c:extLst>
        </c:ser>
        <c:ser>
          <c:idx val="8"/>
          <c:order val="8"/>
          <c:tx>
            <c:strRef>
              <c:f>Year!$J$1:$J$2</c:f>
              <c:strCache>
                <c:ptCount val="1"/>
                <c:pt idx="0">
                  <c:v>September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101-AD67-4BB7-97E9-C38F86400478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103-AD67-4BB7-97E9-C38F86400478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105-AD67-4BB7-97E9-C38F86400478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107-AD67-4BB7-97E9-C38F86400478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109-AD67-4BB7-97E9-C38F86400478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10B-AD67-4BB7-97E9-C38F86400478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10D-AD67-4BB7-97E9-C38F86400478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10F-AD67-4BB7-97E9-C38F86400478}"/>
              </c:ext>
            </c:extLst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111-AD67-4BB7-97E9-C38F86400478}"/>
              </c:ext>
            </c:extLst>
          </c:dPt>
          <c:dPt>
            <c:idx val="9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113-AD67-4BB7-97E9-C38F86400478}"/>
              </c:ext>
            </c:extLst>
          </c:dPt>
          <c:dPt>
            <c:idx val="10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115-AD67-4BB7-97E9-C38F86400478}"/>
              </c:ext>
            </c:extLst>
          </c:dPt>
          <c:dPt>
            <c:idx val="11"/>
            <c:bubble3D val="0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117-AD67-4BB7-97E9-C38F86400478}"/>
              </c:ext>
            </c:extLst>
          </c:dPt>
          <c:dPt>
            <c:idx val="12"/>
            <c:bubble3D val="0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119-AD67-4BB7-97E9-C38F86400478}"/>
              </c:ext>
            </c:extLst>
          </c:dPt>
          <c:dPt>
            <c:idx val="13"/>
            <c:bubble3D val="0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11B-AD67-4BB7-97E9-C38F86400478}"/>
              </c:ext>
            </c:extLst>
          </c:dPt>
          <c:dPt>
            <c:idx val="14"/>
            <c:bubble3D val="0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11D-AD67-4BB7-97E9-C38F86400478}"/>
              </c:ext>
            </c:extLst>
          </c:dPt>
          <c:dPt>
            <c:idx val="15"/>
            <c:bubble3D val="0"/>
            <c:spPr>
              <a:gradFill rotWithShape="1">
                <a:gsLst>
                  <a:gs pos="0">
                    <a:schemeClr val="accent4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11F-AD67-4BB7-97E9-C38F86400478}"/>
              </c:ext>
            </c:extLst>
          </c:dPt>
          <c:dPt>
            <c:idx val="16"/>
            <c:bubble3D val="0"/>
            <c:spPr>
              <a:gradFill rotWithShape="1">
                <a:gsLst>
                  <a:gs pos="0">
                    <a:schemeClr val="accent5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131-A42D-487C-9E23-58261B998FD4}"/>
              </c:ext>
            </c:extLst>
          </c:dPt>
          <c:cat>
            <c:strRef>
              <c:f>Year!$A$3:$A$20</c:f>
              <c:strCache>
                <c:ptCount val="17"/>
                <c:pt idx="0">
                  <c:v>AMAZON</c:v>
                </c:pt>
                <c:pt idx="1">
                  <c:v>ATM FEE</c:v>
                </c:pt>
                <c:pt idx="2">
                  <c:v>CAR INSURANCE</c:v>
                </c:pt>
                <c:pt idx="3">
                  <c:v>CAR MAINTENANCE</c:v>
                </c:pt>
                <c:pt idx="4">
                  <c:v>CAR PAYMENT</c:v>
                </c:pt>
                <c:pt idx="5">
                  <c:v>CARD PAYMENT</c:v>
                </c:pt>
                <c:pt idx="6">
                  <c:v>EDUCATION</c:v>
                </c:pt>
                <c:pt idx="7">
                  <c:v>ENTERTAINMENT</c:v>
                </c:pt>
                <c:pt idx="8">
                  <c:v>FAST FOOD</c:v>
                </c:pt>
                <c:pt idx="9">
                  <c:v>FUEL</c:v>
                </c:pt>
                <c:pt idx="10">
                  <c:v>INCOME</c:v>
                </c:pt>
                <c:pt idx="11">
                  <c:v>ONLINE FILES</c:v>
                </c:pt>
                <c:pt idx="12">
                  <c:v>OVERDRAFT FEE</c:v>
                </c:pt>
                <c:pt idx="13">
                  <c:v>TAX REFUND</c:v>
                </c:pt>
                <c:pt idx="14">
                  <c:v>(blank)</c:v>
                </c:pt>
                <c:pt idx="15">
                  <c:v>REFUND</c:v>
                </c:pt>
                <c:pt idx="16">
                  <c:v>GROCERIES</c:v>
                </c:pt>
              </c:strCache>
            </c:strRef>
          </c:cat>
          <c:val>
            <c:numRef>
              <c:f>Year!$J$3:$J$20</c:f>
              <c:numCache>
                <c:formatCode>"$"#,##0.00</c:formatCode>
                <c:ptCount val="17"/>
                <c:pt idx="0">
                  <c:v>-214.04000000000002</c:v>
                </c:pt>
                <c:pt idx="3">
                  <c:v>-33.21</c:v>
                </c:pt>
                <c:pt idx="4">
                  <c:v>-336.39</c:v>
                </c:pt>
                <c:pt idx="7">
                  <c:v>-17.98</c:v>
                </c:pt>
                <c:pt idx="8">
                  <c:v>-81.069999999999993</c:v>
                </c:pt>
                <c:pt idx="9">
                  <c:v>-162.66999999999999</c:v>
                </c:pt>
                <c:pt idx="10">
                  <c:v>814.77</c:v>
                </c:pt>
                <c:pt idx="14">
                  <c:v>-290.91000000000003</c:v>
                </c:pt>
                <c:pt idx="16">
                  <c:v>-73.56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681-4F4C-B925-B78C0CEE3702}"/>
            </c:ext>
          </c:extLst>
        </c:ser>
        <c:ser>
          <c:idx val="9"/>
          <c:order val="9"/>
          <c:tx>
            <c:strRef>
              <c:f>Year!$K$1:$K$2</c:f>
              <c:strCache>
                <c:ptCount val="1"/>
                <c:pt idx="0">
                  <c:v>October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121-AD67-4BB7-97E9-C38F86400478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123-AD67-4BB7-97E9-C38F86400478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125-AD67-4BB7-97E9-C38F86400478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127-AD67-4BB7-97E9-C38F86400478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129-AD67-4BB7-97E9-C38F86400478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12B-AD67-4BB7-97E9-C38F86400478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12D-AD67-4BB7-97E9-C38F86400478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12F-AD67-4BB7-97E9-C38F86400478}"/>
              </c:ext>
            </c:extLst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131-AD67-4BB7-97E9-C38F86400478}"/>
              </c:ext>
            </c:extLst>
          </c:dPt>
          <c:dPt>
            <c:idx val="9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133-AD67-4BB7-97E9-C38F86400478}"/>
              </c:ext>
            </c:extLst>
          </c:dPt>
          <c:dPt>
            <c:idx val="10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135-AD67-4BB7-97E9-C38F86400478}"/>
              </c:ext>
            </c:extLst>
          </c:dPt>
          <c:dPt>
            <c:idx val="11"/>
            <c:bubble3D val="0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137-AD67-4BB7-97E9-C38F86400478}"/>
              </c:ext>
            </c:extLst>
          </c:dPt>
          <c:dPt>
            <c:idx val="12"/>
            <c:bubble3D val="0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139-AD67-4BB7-97E9-C38F86400478}"/>
              </c:ext>
            </c:extLst>
          </c:dPt>
          <c:dPt>
            <c:idx val="13"/>
            <c:bubble3D val="0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13B-AD67-4BB7-97E9-C38F86400478}"/>
              </c:ext>
            </c:extLst>
          </c:dPt>
          <c:dPt>
            <c:idx val="14"/>
            <c:bubble3D val="0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13D-AD67-4BB7-97E9-C38F86400478}"/>
              </c:ext>
            </c:extLst>
          </c:dPt>
          <c:dPt>
            <c:idx val="15"/>
            <c:bubble3D val="0"/>
            <c:spPr>
              <a:gradFill rotWithShape="1">
                <a:gsLst>
                  <a:gs pos="0">
                    <a:schemeClr val="accent4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13F-AD67-4BB7-97E9-C38F86400478}"/>
              </c:ext>
            </c:extLst>
          </c:dPt>
          <c:dPt>
            <c:idx val="16"/>
            <c:bubble3D val="0"/>
            <c:spPr>
              <a:gradFill rotWithShape="1">
                <a:gsLst>
                  <a:gs pos="0">
                    <a:schemeClr val="accent5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153-A42D-487C-9E23-58261B998FD4}"/>
              </c:ext>
            </c:extLst>
          </c:dPt>
          <c:cat>
            <c:strRef>
              <c:f>Year!$A$3:$A$20</c:f>
              <c:strCache>
                <c:ptCount val="17"/>
                <c:pt idx="0">
                  <c:v>AMAZON</c:v>
                </c:pt>
                <c:pt idx="1">
                  <c:v>ATM FEE</c:v>
                </c:pt>
                <c:pt idx="2">
                  <c:v>CAR INSURANCE</c:v>
                </c:pt>
                <c:pt idx="3">
                  <c:v>CAR MAINTENANCE</c:v>
                </c:pt>
                <c:pt idx="4">
                  <c:v>CAR PAYMENT</c:v>
                </c:pt>
                <c:pt idx="5">
                  <c:v>CARD PAYMENT</c:v>
                </c:pt>
                <c:pt idx="6">
                  <c:v>EDUCATION</c:v>
                </c:pt>
                <c:pt idx="7">
                  <c:v>ENTERTAINMENT</c:v>
                </c:pt>
                <c:pt idx="8">
                  <c:v>FAST FOOD</c:v>
                </c:pt>
                <c:pt idx="9">
                  <c:v>FUEL</c:v>
                </c:pt>
                <c:pt idx="10">
                  <c:v>INCOME</c:v>
                </c:pt>
                <c:pt idx="11">
                  <c:v>ONLINE FILES</c:v>
                </c:pt>
                <c:pt idx="12">
                  <c:v>OVERDRAFT FEE</c:v>
                </c:pt>
                <c:pt idx="13">
                  <c:v>TAX REFUND</c:v>
                </c:pt>
                <c:pt idx="14">
                  <c:v>(blank)</c:v>
                </c:pt>
                <c:pt idx="15">
                  <c:v>REFUND</c:v>
                </c:pt>
                <c:pt idx="16">
                  <c:v>GROCERIES</c:v>
                </c:pt>
              </c:strCache>
            </c:strRef>
          </c:cat>
          <c:val>
            <c:numRef>
              <c:f>Year!$K$3:$K$20</c:f>
              <c:numCache>
                <c:formatCode>"$"#,##0.00</c:formatCode>
                <c:ptCount val="17"/>
                <c:pt idx="1">
                  <c:v>-1.5</c:v>
                </c:pt>
                <c:pt idx="2">
                  <c:v>-204.53</c:v>
                </c:pt>
                <c:pt idx="4">
                  <c:v>-336.39</c:v>
                </c:pt>
                <c:pt idx="5">
                  <c:v>-731.78</c:v>
                </c:pt>
                <c:pt idx="10">
                  <c:v>1780.27</c:v>
                </c:pt>
                <c:pt idx="14">
                  <c:v>-271.02999999999997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681-4F4C-B925-B78C0CEE3702}"/>
            </c:ext>
          </c:extLst>
        </c:ser>
        <c:ser>
          <c:idx val="10"/>
          <c:order val="10"/>
          <c:tx>
            <c:strRef>
              <c:f>Year!$L$1:$L$2</c:f>
              <c:strCache>
                <c:ptCount val="1"/>
                <c:pt idx="0">
                  <c:v>November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141-AD67-4BB7-97E9-C38F86400478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143-AD67-4BB7-97E9-C38F86400478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145-AD67-4BB7-97E9-C38F86400478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147-AD67-4BB7-97E9-C38F86400478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149-AD67-4BB7-97E9-C38F86400478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14B-AD67-4BB7-97E9-C38F86400478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14D-AD67-4BB7-97E9-C38F86400478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14F-AD67-4BB7-97E9-C38F86400478}"/>
              </c:ext>
            </c:extLst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151-AD67-4BB7-97E9-C38F86400478}"/>
              </c:ext>
            </c:extLst>
          </c:dPt>
          <c:dPt>
            <c:idx val="9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153-AD67-4BB7-97E9-C38F86400478}"/>
              </c:ext>
            </c:extLst>
          </c:dPt>
          <c:dPt>
            <c:idx val="10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155-AD67-4BB7-97E9-C38F86400478}"/>
              </c:ext>
            </c:extLst>
          </c:dPt>
          <c:dPt>
            <c:idx val="11"/>
            <c:bubble3D val="0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157-AD67-4BB7-97E9-C38F86400478}"/>
              </c:ext>
            </c:extLst>
          </c:dPt>
          <c:dPt>
            <c:idx val="12"/>
            <c:bubble3D val="0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159-AD67-4BB7-97E9-C38F86400478}"/>
              </c:ext>
            </c:extLst>
          </c:dPt>
          <c:dPt>
            <c:idx val="13"/>
            <c:bubble3D val="0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15B-AD67-4BB7-97E9-C38F86400478}"/>
              </c:ext>
            </c:extLst>
          </c:dPt>
          <c:dPt>
            <c:idx val="14"/>
            <c:bubble3D val="0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15D-AD67-4BB7-97E9-C38F86400478}"/>
              </c:ext>
            </c:extLst>
          </c:dPt>
          <c:dPt>
            <c:idx val="15"/>
            <c:bubble3D val="0"/>
            <c:spPr>
              <a:gradFill rotWithShape="1">
                <a:gsLst>
                  <a:gs pos="0">
                    <a:schemeClr val="accent4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15F-AD67-4BB7-97E9-C38F86400478}"/>
              </c:ext>
            </c:extLst>
          </c:dPt>
          <c:dPt>
            <c:idx val="16"/>
            <c:bubble3D val="0"/>
            <c:spPr>
              <a:gradFill rotWithShape="1">
                <a:gsLst>
                  <a:gs pos="0">
                    <a:schemeClr val="accent5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175-A42D-487C-9E23-58261B998FD4}"/>
              </c:ext>
            </c:extLst>
          </c:dPt>
          <c:cat>
            <c:strRef>
              <c:f>Year!$A$3:$A$20</c:f>
              <c:strCache>
                <c:ptCount val="17"/>
                <c:pt idx="0">
                  <c:v>AMAZON</c:v>
                </c:pt>
                <c:pt idx="1">
                  <c:v>ATM FEE</c:v>
                </c:pt>
                <c:pt idx="2">
                  <c:v>CAR INSURANCE</c:v>
                </c:pt>
                <c:pt idx="3">
                  <c:v>CAR MAINTENANCE</c:v>
                </c:pt>
                <c:pt idx="4">
                  <c:v>CAR PAYMENT</c:v>
                </c:pt>
                <c:pt idx="5">
                  <c:v>CARD PAYMENT</c:v>
                </c:pt>
                <c:pt idx="6">
                  <c:v>EDUCATION</c:v>
                </c:pt>
                <c:pt idx="7">
                  <c:v>ENTERTAINMENT</c:v>
                </c:pt>
                <c:pt idx="8">
                  <c:v>FAST FOOD</c:v>
                </c:pt>
                <c:pt idx="9">
                  <c:v>FUEL</c:v>
                </c:pt>
                <c:pt idx="10">
                  <c:v>INCOME</c:v>
                </c:pt>
                <c:pt idx="11">
                  <c:v>ONLINE FILES</c:v>
                </c:pt>
                <c:pt idx="12">
                  <c:v>OVERDRAFT FEE</c:v>
                </c:pt>
                <c:pt idx="13">
                  <c:v>TAX REFUND</c:v>
                </c:pt>
                <c:pt idx="14">
                  <c:v>(blank)</c:v>
                </c:pt>
                <c:pt idx="15">
                  <c:v>REFUND</c:v>
                </c:pt>
                <c:pt idx="16">
                  <c:v>GROCERIES</c:v>
                </c:pt>
              </c:strCache>
            </c:strRef>
          </c:cat>
          <c:val>
            <c:numRef>
              <c:f>Year!$L$3:$L$20</c:f>
              <c:numCache>
                <c:formatCode>"$"#,##0.00</c:formatCode>
                <c:ptCount val="17"/>
                <c:pt idx="4">
                  <c:v>-336.39</c:v>
                </c:pt>
                <c:pt idx="5">
                  <c:v>-1271.8800000000001</c:v>
                </c:pt>
                <c:pt idx="10">
                  <c:v>956.37</c:v>
                </c:pt>
                <c:pt idx="14">
                  <c:v>-274.14999999999998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681-4F4C-B925-B78C0CEE3702}"/>
            </c:ext>
          </c:extLst>
        </c:ser>
        <c:ser>
          <c:idx val="11"/>
          <c:order val="11"/>
          <c:tx>
            <c:strRef>
              <c:f>Year!$M$1:$M$2</c:f>
              <c:strCache>
                <c:ptCount val="1"/>
                <c:pt idx="0">
                  <c:v>December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161-AD67-4BB7-97E9-C38F86400478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163-AD67-4BB7-97E9-C38F86400478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165-AD67-4BB7-97E9-C38F86400478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167-AD67-4BB7-97E9-C38F86400478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169-AD67-4BB7-97E9-C38F86400478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16B-AD67-4BB7-97E9-C38F86400478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16D-AD67-4BB7-97E9-C38F86400478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16F-AD67-4BB7-97E9-C38F86400478}"/>
              </c:ext>
            </c:extLst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171-AD67-4BB7-97E9-C38F86400478}"/>
              </c:ext>
            </c:extLst>
          </c:dPt>
          <c:dPt>
            <c:idx val="9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173-AD67-4BB7-97E9-C38F86400478}"/>
              </c:ext>
            </c:extLst>
          </c:dPt>
          <c:dPt>
            <c:idx val="10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175-AD67-4BB7-97E9-C38F86400478}"/>
              </c:ext>
            </c:extLst>
          </c:dPt>
          <c:dPt>
            <c:idx val="11"/>
            <c:bubble3D val="0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177-AD67-4BB7-97E9-C38F86400478}"/>
              </c:ext>
            </c:extLst>
          </c:dPt>
          <c:dPt>
            <c:idx val="12"/>
            <c:bubble3D val="0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179-AD67-4BB7-97E9-C38F86400478}"/>
              </c:ext>
            </c:extLst>
          </c:dPt>
          <c:dPt>
            <c:idx val="13"/>
            <c:bubble3D val="0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17B-AD67-4BB7-97E9-C38F86400478}"/>
              </c:ext>
            </c:extLst>
          </c:dPt>
          <c:dPt>
            <c:idx val="14"/>
            <c:bubble3D val="0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17D-AD67-4BB7-97E9-C38F86400478}"/>
              </c:ext>
            </c:extLst>
          </c:dPt>
          <c:dPt>
            <c:idx val="15"/>
            <c:bubble3D val="0"/>
            <c:spPr>
              <a:gradFill rotWithShape="1">
                <a:gsLst>
                  <a:gs pos="0">
                    <a:schemeClr val="accent4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17F-AD67-4BB7-97E9-C38F86400478}"/>
              </c:ext>
            </c:extLst>
          </c:dPt>
          <c:dPt>
            <c:idx val="16"/>
            <c:bubble3D val="0"/>
            <c:spPr>
              <a:gradFill rotWithShape="1">
                <a:gsLst>
                  <a:gs pos="0">
                    <a:schemeClr val="accent5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197-A42D-487C-9E23-58261B998FD4}"/>
              </c:ext>
            </c:extLst>
          </c:dPt>
          <c:cat>
            <c:strRef>
              <c:f>Year!$A$3:$A$20</c:f>
              <c:strCache>
                <c:ptCount val="17"/>
                <c:pt idx="0">
                  <c:v>AMAZON</c:v>
                </c:pt>
                <c:pt idx="1">
                  <c:v>ATM FEE</c:v>
                </c:pt>
                <c:pt idx="2">
                  <c:v>CAR INSURANCE</c:v>
                </c:pt>
                <c:pt idx="3">
                  <c:v>CAR MAINTENANCE</c:v>
                </c:pt>
                <c:pt idx="4">
                  <c:v>CAR PAYMENT</c:v>
                </c:pt>
                <c:pt idx="5">
                  <c:v>CARD PAYMENT</c:v>
                </c:pt>
                <c:pt idx="6">
                  <c:v>EDUCATION</c:v>
                </c:pt>
                <c:pt idx="7">
                  <c:v>ENTERTAINMENT</c:v>
                </c:pt>
                <c:pt idx="8">
                  <c:v>FAST FOOD</c:v>
                </c:pt>
                <c:pt idx="9">
                  <c:v>FUEL</c:v>
                </c:pt>
                <c:pt idx="10">
                  <c:v>INCOME</c:v>
                </c:pt>
                <c:pt idx="11">
                  <c:v>ONLINE FILES</c:v>
                </c:pt>
                <c:pt idx="12">
                  <c:v>OVERDRAFT FEE</c:v>
                </c:pt>
                <c:pt idx="13">
                  <c:v>TAX REFUND</c:v>
                </c:pt>
                <c:pt idx="14">
                  <c:v>(blank)</c:v>
                </c:pt>
                <c:pt idx="15">
                  <c:v>REFUND</c:v>
                </c:pt>
                <c:pt idx="16">
                  <c:v>GROCERIES</c:v>
                </c:pt>
              </c:strCache>
            </c:strRef>
          </c:cat>
          <c:val>
            <c:numRef>
              <c:f>Year!$M$3:$M$20</c:f>
              <c:numCache>
                <c:formatCode>"$"#,##0.00</c:formatCode>
                <c:ptCount val="17"/>
                <c:pt idx="4">
                  <c:v>-336.39</c:v>
                </c:pt>
                <c:pt idx="5">
                  <c:v>-927.07</c:v>
                </c:pt>
                <c:pt idx="10">
                  <c:v>810.36</c:v>
                </c:pt>
                <c:pt idx="14">
                  <c:v>-239.15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681-4F4C-B925-B78C0CEE37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25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6997019374068556"/>
          <c:y val="8.9086859688195987E-3"/>
          <c:w val="0.32704918032786889"/>
          <c:h val="0.9866369710467706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[Yearly-Transactions_Template.xlsm]January!JanTotals</c:name>
    <c:fmtId val="5"/>
  </c:pivotSource>
  <c:chart>
    <c:autoTitleDeleted val="1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</c:pivotFmts>
    <c:plotArea>
      <c:layout>
        <c:manualLayout>
          <c:xMode val="edge"/>
          <c:yMode val="edge"/>
          <c:x val="1.1111111111111112E-2"/>
          <c:y val="1.8518518518518517E-2"/>
          <c:w val="0.58333333333333337"/>
          <c:h val="0.97222222222222221"/>
        </c:manualLayout>
      </c:layout>
      <c:doughnutChart>
        <c:varyColors val="1"/>
        <c:ser>
          <c:idx val="0"/>
          <c:order val="0"/>
          <c:tx>
            <c:strRef>
              <c:f>January!$G$1</c:f>
              <c:strCache>
                <c:ptCount val="1"/>
                <c:pt idx="0">
                  <c:v>Total</c:v>
                </c:pt>
              </c:strCache>
            </c:strRef>
          </c:tx>
          <c:explosion val="3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8C-4040-99E2-B861D48CB633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8C-4040-99E2-B861D48CB633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0B8C-4040-99E2-B861D48CB633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0B8C-4040-99E2-B861D48CB633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0B8C-4040-99E2-B861D48CB633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0B8C-4040-99E2-B861D48CB633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0B8C-4040-99E2-B861D48CB633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0B8C-4040-99E2-B861D48CB633}"/>
              </c:ext>
            </c:extLst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0B8C-4040-99E2-B861D48CB633}"/>
              </c:ext>
            </c:extLst>
          </c:dPt>
          <c:dPt>
            <c:idx val="9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0B8C-4040-99E2-B861D48CB633}"/>
              </c:ext>
            </c:extLst>
          </c:dPt>
          <c:cat>
            <c:strRef>
              <c:f>January!$F$2:$F$3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January!$G$2:$G$3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9FE0-4183-8107-4281C998C5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6994444444444445"/>
          <c:y val="1.8518518518518517E-2"/>
          <c:w val="0.32450000000000001"/>
          <c:h val="0.9722222222222222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[Yearly-Transactions_Template.xlsm]February!FebTotals</c:name>
    <c:fmtId val="5"/>
  </c:pivotSource>
  <c:chart>
    <c:autoTitleDeleted val="1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</c:pivotFmts>
    <c:plotArea>
      <c:layout>
        <c:manualLayout>
          <c:xMode val="edge"/>
          <c:yMode val="edge"/>
          <c:x val="1.1111111111111112E-2"/>
          <c:y val="1.8518518518518517E-2"/>
          <c:w val="0.58333333333333337"/>
          <c:h val="0.97222222222222221"/>
        </c:manualLayout>
      </c:layout>
      <c:doughnutChart>
        <c:varyColors val="1"/>
        <c:ser>
          <c:idx val="0"/>
          <c:order val="0"/>
          <c:tx>
            <c:strRef>
              <c:f>February!$G$1</c:f>
              <c:strCache>
                <c:ptCount val="1"/>
                <c:pt idx="0">
                  <c:v>Total</c:v>
                </c:pt>
              </c:strCache>
            </c:strRef>
          </c:tx>
          <c:explosion val="3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1EA2-4906-9AA6-F111983D8FA4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1EA2-4906-9AA6-F111983D8FA4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1EA2-4906-9AA6-F111983D8FA4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1EA2-4906-9AA6-F111983D8FA4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1EA2-4906-9AA6-F111983D8FA4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1EA2-4906-9AA6-F111983D8FA4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1EA2-4906-9AA6-F111983D8FA4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1EA2-4906-9AA6-F111983D8FA4}"/>
              </c:ext>
            </c:extLst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1EA2-4906-9AA6-F111983D8FA4}"/>
              </c:ext>
            </c:extLst>
          </c:dPt>
          <c:dPt>
            <c:idx val="9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1EA2-4906-9AA6-F111983D8FA4}"/>
              </c:ext>
            </c:extLst>
          </c:dPt>
          <c:dPt>
            <c:idx val="10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1EA2-4906-9AA6-F111983D8FA4}"/>
              </c:ext>
            </c:extLst>
          </c:dPt>
          <c:dPt>
            <c:idx val="11"/>
            <c:bubble3D val="0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1EA2-4906-9AA6-F111983D8FA4}"/>
              </c:ext>
            </c:extLst>
          </c:dPt>
          <c:dPt>
            <c:idx val="12"/>
            <c:bubble3D val="0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9-E6B7-487B-9A30-BE96917B37BF}"/>
              </c:ext>
            </c:extLst>
          </c:dPt>
          <c:cat>
            <c:strRef>
              <c:f>February!$F$2:$F$3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February!$G$2:$G$3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C67E-478D-AE17-8B9EF4961B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6994444444444445"/>
          <c:y val="1.8518518518518517E-2"/>
          <c:w val="0.32450000000000001"/>
          <c:h val="0.9722222222222222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[Yearly-Transactions_Template.xlsm]March!MarTotals</c:name>
    <c:fmtId val="3"/>
  </c:pivotSource>
  <c:chart>
    <c:autoTitleDeleted val="1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</c:pivotFmts>
    <c:plotArea>
      <c:layout>
        <c:manualLayout>
          <c:xMode val="edge"/>
          <c:yMode val="edge"/>
          <c:x val="1.1111111111111112E-2"/>
          <c:y val="1.8518518518518517E-2"/>
          <c:w val="0.58333333333333337"/>
          <c:h val="0.97222222222222221"/>
        </c:manualLayout>
      </c:layout>
      <c:doughnutChart>
        <c:varyColors val="1"/>
        <c:ser>
          <c:idx val="0"/>
          <c:order val="0"/>
          <c:tx>
            <c:strRef>
              <c:f>March!$G$1</c:f>
              <c:strCache>
                <c:ptCount val="1"/>
                <c:pt idx="0">
                  <c:v>Total</c:v>
                </c:pt>
              </c:strCache>
            </c:strRef>
          </c:tx>
          <c:explosion val="3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14C-4207-90DD-74DC80A1B54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14C-4207-90DD-74DC80A1B546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014C-4207-90DD-74DC80A1B546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014C-4207-90DD-74DC80A1B546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014C-4207-90DD-74DC80A1B546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014C-4207-90DD-74DC80A1B546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014C-4207-90DD-74DC80A1B546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014C-4207-90DD-74DC80A1B546}"/>
              </c:ext>
            </c:extLst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014C-4207-90DD-74DC80A1B546}"/>
              </c:ext>
            </c:extLst>
          </c:dPt>
          <c:dPt>
            <c:idx val="9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014C-4207-90DD-74DC80A1B546}"/>
              </c:ext>
            </c:extLst>
          </c:dPt>
          <c:dPt>
            <c:idx val="10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014C-4207-90DD-74DC80A1B546}"/>
              </c:ext>
            </c:extLst>
          </c:dPt>
          <c:cat>
            <c:strRef>
              <c:f>March!$F$2:$F$3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March!$G$2:$G$3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91D3-4A1F-879D-51E5F86449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6994444444444445"/>
          <c:y val="1.8518518518518517E-2"/>
          <c:w val="0.32450000000000001"/>
          <c:h val="0.9722222222222222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[Yearly-Transactions_Template.xlsm]April!AprTotals</c:name>
    <c:fmtId val="2"/>
  </c:pivotSource>
  <c:chart>
    <c:autoTitleDeleted val="1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</c:pivotFmts>
    <c:plotArea>
      <c:layout>
        <c:manualLayout>
          <c:xMode val="edge"/>
          <c:yMode val="edge"/>
          <c:x val="1.1111111111111112E-2"/>
          <c:y val="1.8518518518518517E-2"/>
          <c:w val="0.58333333333333337"/>
          <c:h val="0.97222222222222221"/>
        </c:manualLayout>
      </c:layout>
      <c:doughnutChart>
        <c:varyColors val="1"/>
        <c:ser>
          <c:idx val="0"/>
          <c:order val="0"/>
          <c:tx>
            <c:strRef>
              <c:f>April!$G$1</c:f>
              <c:strCache>
                <c:ptCount val="1"/>
                <c:pt idx="0">
                  <c:v>Total</c:v>
                </c:pt>
              </c:strCache>
            </c:strRef>
          </c:tx>
          <c:explosion val="3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F20B-4268-8F6B-E2DB0A2E99F9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F20B-4268-8F6B-E2DB0A2E99F9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F20B-4268-8F6B-E2DB0A2E99F9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F20B-4268-8F6B-E2DB0A2E99F9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F20B-4268-8F6B-E2DB0A2E99F9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F20B-4268-8F6B-E2DB0A2E99F9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F20B-4268-8F6B-E2DB0A2E99F9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F20B-4268-8F6B-E2DB0A2E99F9}"/>
              </c:ext>
            </c:extLst>
          </c:dPt>
          <c:cat>
            <c:strRef>
              <c:f>April!$F$2:$F$3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April!$G$2:$G$3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C7DE-4A7F-B8C8-8ACAFFE7B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6994444444444445"/>
          <c:y val="1.8518518518518517E-2"/>
          <c:w val="0.32450000000000001"/>
          <c:h val="0.9722222222222222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[Yearly-Transactions_Template.xlsm]May!MayTotals</c:name>
    <c:fmtId val="1"/>
  </c:pivotSource>
  <c:chart>
    <c:autoTitleDeleted val="1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</c:pivotFmts>
    <c:plotArea>
      <c:layout>
        <c:manualLayout>
          <c:xMode val="edge"/>
          <c:yMode val="edge"/>
          <c:x val="1.1111111111111112E-2"/>
          <c:y val="1.8518518518518517E-2"/>
          <c:w val="0.58333333333333337"/>
          <c:h val="0.97222222222222221"/>
        </c:manualLayout>
      </c:layout>
      <c:doughnutChart>
        <c:varyColors val="1"/>
        <c:ser>
          <c:idx val="0"/>
          <c:order val="0"/>
          <c:tx>
            <c:strRef>
              <c:f>May!$G$1</c:f>
              <c:strCache>
                <c:ptCount val="1"/>
                <c:pt idx="0">
                  <c:v>Total</c:v>
                </c:pt>
              </c:strCache>
            </c:strRef>
          </c:tx>
          <c:explosion val="3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F2E-44B5-8FCD-8DFB01EA4079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F2E-44B5-8FCD-8DFB01EA4079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0F2E-44B5-8FCD-8DFB01EA4079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0F2E-44B5-8FCD-8DFB01EA4079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0F2E-44B5-8FCD-8DFB01EA4079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0F2E-44B5-8FCD-8DFB01EA4079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0F2E-44B5-8FCD-8DFB01EA4079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0F2E-44B5-8FCD-8DFB01EA4079}"/>
              </c:ext>
            </c:extLst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0F2E-44B5-8FCD-8DFB01EA4079}"/>
              </c:ext>
            </c:extLst>
          </c:dPt>
          <c:dPt>
            <c:idx val="9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0F2E-44B5-8FCD-8DFB01EA4079}"/>
              </c:ext>
            </c:extLst>
          </c:dPt>
          <c:dPt>
            <c:idx val="10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0F2E-44B5-8FCD-8DFB01EA4079}"/>
              </c:ext>
            </c:extLst>
          </c:dPt>
          <c:cat>
            <c:strRef>
              <c:f>May!$F$2:$F$3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May!$G$2:$G$3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1CC7-4BDC-B39A-38494D0D95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6994444444444445"/>
          <c:y val="1.8518518518518517E-2"/>
          <c:w val="0.32450000000000001"/>
          <c:h val="0.9722222222222222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[Yearly-Transactions_Template.xlsm]June!JunTotals</c:name>
    <c:fmtId val="2"/>
  </c:pivotSource>
  <c:chart>
    <c:autoTitleDeleted val="1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</c:pivotFmts>
    <c:plotArea>
      <c:layout>
        <c:manualLayout>
          <c:xMode val="edge"/>
          <c:yMode val="edge"/>
          <c:x val="1.1111111111111112E-2"/>
          <c:y val="1.8518518518518517E-2"/>
          <c:w val="0.58333333333333337"/>
          <c:h val="0.97222222222222221"/>
        </c:manualLayout>
      </c:layout>
      <c:doughnutChart>
        <c:varyColors val="1"/>
        <c:ser>
          <c:idx val="0"/>
          <c:order val="0"/>
          <c:tx>
            <c:strRef>
              <c:f>June!$G$1</c:f>
              <c:strCache>
                <c:ptCount val="1"/>
                <c:pt idx="0">
                  <c:v>Total</c:v>
                </c:pt>
              </c:strCache>
            </c:strRef>
          </c:tx>
          <c:explosion val="3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E912-4C6D-8D04-6DE8D9B8F507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E912-4C6D-8D04-6DE8D9B8F507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E912-4C6D-8D04-6DE8D9B8F507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E912-4C6D-8D04-6DE8D9B8F507}"/>
              </c:ext>
            </c:extLst>
          </c:dPt>
          <c:cat>
            <c:strRef>
              <c:f>June!$F$2:$F$3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June!$G$2:$G$3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BA36-4334-A7C9-83A2F7C3D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6994444444444445"/>
          <c:y val="1.8518518518518517E-2"/>
          <c:w val="0.32450000000000001"/>
          <c:h val="0.9722222222222222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[Yearly-Transactions_Template.xlsm]July!JulTotals</c:name>
    <c:fmtId val="2"/>
  </c:pivotSource>
  <c:chart>
    <c:autoTitleDeleted val="1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</c:pivotFmts>
    <c:plotArea>
      <c:layout>
        <c:manualLayout>
          <c:xMode val="edge"/>
          <c:yMode val="edge"/>
          <c:x val="1.1111111111111112E-2"/>
          <c:y val="1.8518518518518517E-2"/>
          <c:w val="0.58333333333333337"/>
          <c:h val="0.97222222222222221"/>
        </c:manualLayout>
      </c:layout>
      <c:doughnutChart>
        <c:varyColors val="1"/>
        <c:ser>
          <c:idx val="0"/>
          <c:order val="0"/>
          <c:tx>
            <c:strRef>
              <c:f>July!$G$1</c:f>
              <c:strCache>
                <c:ptCount val="1"/>
                <c:pt idx="0">
                  <c:v>Total</c:v>
                </c:pt>
              </c:strCache>
            </c:strRef>
          </c:tx>
          <c:explosion val="3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CE78-49F2-86D9-4436BD1DD41F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CE78-49F2-86D9-4436BD1DD41F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CE78-49F2-86D9-4436BD1DD41F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CE78-49F2-86D9-4436BD1DD41F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CE78-49F2-86D9-4436BD1DD41F}"/>
              </c:ext>
            </c:extLst>
          </c:dPt>
          <c:cat>
            <c:strRef>
              <c:f>July!$F$2:$F$3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July!$G$2:$G$3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127C-4218-B147-47363DFB6A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6994444444444445"/>
          <c:y val="1.8518518518518517E-2"/>
          <c:w val="0.32450000000000001"/>
          <c:h val="0.9722222222222222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[Yearly-Transactions_Template.xlsm]August!AugTotals</c:name>
    <c:fmtId val="2"/>
  </c:pivotSource>
  <c:chart>
    <c:autoTitleDeleted val="1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</c:pivotFmts>
    <c:plotArea>
      <c:layout>
        <c:manualLayout>
          <c:xMode val="edge"/>
          <c:yMode val="edge"/>
          <c:x val="1.1111111111111112E-2"/>
          <c:y val="1.8518518518518517E-2"/>
          <c:w val="0.58333333333333337"/>
          <c:h val="0.97222222222222221"/>
        </c:manualLayout>
      </c:layout>
      <c:doughnutChart>
        <c:varyColors val="1"/>
        <c:ser>
          <c:idx val="0"/>
          <c:order val="0"/>
          <c:tx>
            <c:strRef>
              <c:f>August!$G$1</c:f>
              <c:strCache>
                <c:ptCount val="1"/>
                <c:pt idx="0">
                  <c:v>Total</c:v>
                </c:pt>
              </c:strCache>
            </c:strRef>
          </c:tx>
          <c:explosion val="3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AF88-4B22-A83E-F239600B1507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AF88-4B22-A83E-F239600B1507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AF88-4B22-A83E-F239600B1507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AF88-4B22-A83E-F239600B1507}"/>
              </c:ext>
            </c:extLst>
          </c:dPt>
          <c:cat>
            <c:strRef>
              <c:f>August!$F$2:$F$3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August!$G$2:$G$3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7F6B-4684-B7F4-CE8ACA0113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6994444444444445"/>
          <c:y val="1.8518518518518517E-2"/>
          <c:w val="0.32450000000000001"/>
          <c:h val="0.9722222222222222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[Yearly-Transactions_Template.xlsm]September!SepTotals</c:name>
    <c:fmtId val="2"/>
  </c:pivotSource>
  <c:chart>
    <c:autoTitleDeleted val="1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</c:pivotFmts>
    <c:plotArea>
      <c:layout>
        <c:manualLayout>
          <c:xMode val="edge"/>
          <c:yMode val="edge"/>
          <c:x val="1.1111111111111112E-2"/>
          <c:y val="1.8518518518518517E-2"/>
          <c:w val="0.58333333333333337"/>
          <c:h val="0.97222222222222221"/>
        </c:manualLayout>
      </c:layout>
      <c:doughnutChart>
        <c:varyColors val="1"/>
        <c:ser>
          <c:idx val="0"/>
          <c:order val="0"/>
          <c:tx>
            <c:strRef>
              <c:f>September!$G$1</c:f>
              <c:strCache>
                <c:ptCount val="1"/>
                <c:pt idx="0">
                  <c:v>Total</c:v>
                </c:pt>
              </c:strCache>
            </c:strRef>
          </c:tx>
          <c:explosion val="3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3C97-449A-A811-4ED3797B93D0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3C97-449A-A811-4ED3797B93D0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3C97-449A-A811-4ED3797B93D0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B545-4FB2-BA0A-DA0F981DBBD3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B545-4FB2-BA0A-DA0F981DBBD3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B545-4FB2-BA0A-DA0F981DBBD3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B545-4FB2-BA0A-DA0F981DBBD3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B545-4FB2-BA0A-DA0F981DBBD3}"/>
              </c:ext>
            </c:extLst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2086-41C2-9533-8CC78D32E995}"/>
              </c:ext>
            </c:extLst>
          </c:dPt>
          <c:cat>
            <c:strRef>
              <c:f>September!$F$2:$F$3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September!$G$2:$G$3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5D65-4F19-B7F9-587189660F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6994444444444445"/>
          <c:y val="1.8518518518518517E-2"/>
          <c:w val="0.32450000000000001"/>
          <c:h val="0.9722222222222222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[Yearly-Transactions_Template.xlsm]October!OctTotals</c:name>
    <c:fmtId val="2"/>
  </c:pivotSource>
  <c:chart>
    <c:autoTitleDeleted val="1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</c:pivotFmts>
    <c:plotArea>
      <c:layout>
        <c:manualLayout>
          <c:xMode val="edge"/>
          <c:yMode val="edge"/>
          <c:x val="1.1111111111111112E-2"/>
          <c:y val="1.8518518518518517E-2"/>
          <c:w val="0.58333333333333337"/>
          <c:h val="0.97222222222222221"/>
        </c:manualLayout>
      </c:layout>
      <c:doughnutChart>
        <c:varyColors val="1"/>
        <c:ser>
          <c:idx val="0"/>
          <c:order val="0"/>
          <c:tx>
            <c:strRef>
              <c:f>October!$G$1</c:f>
              <c:strCache>
                <c:ptCount val="1"/>
                <c:pt idx="0">
                  <c:v>Total</c:v>
                </c:pt>
              </c:strCache>
            </c:strRef>
          </c:tx>
          <c:explosion val="3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5086-4080-9C92-820888AA18C5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5086-4080-9C92-820888AA18C5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5086-4080-9C92-820888AA18C5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5086-4080-9C92-820888AA18C5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5086-4080-9C92-820888AA18C5}"/>
              </c:ext>
            </c:extLst>
          </c:dPt>
          <c:cat>
            <c:strRef>
              <c:f>October!$F$2:$F$3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October!$G$2:$G$3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3DF5-46EF-9015-8F767BF353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6994444444444445"/>
          <c:y val="1.8518518518518517E-2"/>
          <c:w val="0.32450000000000001"/>
          <c:h val="0.9722222222222222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[Yearly-Transactions_Template.xlsm]November!NovTotals</c:name>
    <c:fmtId val="2"/>
  </c:pivotSource>
  <c:chart>
    <c:autoTitleDeleted val="1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</c:pivotFmts>
    <c:plotArea>
      <c:layout>
        <c:manualLayout>
          <c:xMode val="edge"/>
          <c:yMode val="edge"/>
          <c:x val="1.1111111111111112E-2"/>
          <c:y val="1.8518518518518517E-2"/>
          <c:w val="0.58333333333333337"/>
          <c:h val="0.97222222222222221"/>
        </c:manualLayout>
      </c:layout>
      <c:doughnutChart>
        <c:varyColors val="1"/>
        <c:ser>
          <c:idx val="0"/>
          <c:order val="0"/>
          <c:tx>
            <c:strRef>
              <c:f>November!$G$1</c:f>
              <c:strCache>
                <c:ptCount val="1"/>
                <c:pt idx="0">
                  <c:v>Total</c:v>
                </c:pt>
              </c:strCache>
            </c:strRef>
          </c:tx>
          <c:explosion val="3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CE45-499E-B164-BA3226F72A0F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CE45-499E-B164-BA3226F72A0F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CE45-499E-B164-BA3226F72A0F}"/>
              </c:ext>
            </c:extLst>
          </c:dPt>
          <c:cat>
            <c:strRef>
              <c:f>November!$F$2:$F$3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November!$G$2:$G$3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F7D0-457E-89A8-1E4618829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6994444444444445"/>
          <c:y val="1.8518518518518517E-2"/>
          <c:w val="0.32450000000000001"/>
          <c:h val="0.9722222222222222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[Yearly-Transactions_Template.xlsm]December!DecTotals</c:name>
    <c:fmtId val="1"/>
  </c:pivotSource>
  <c:chart>
    <c:autoTitleDeleted val="1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</c:pivotFmts>
    <c:plotArea>
      <c:layout>
        <c:manualLayout>
          <c:xMode val="edge"/>
          <c:yMode val="edge"/>
          <c:x val="1.1111111111111112E-2"/>
          <c:y val="1.8518518518518517E-2"/>
          <c:w val="0.58333333333333337"/>
          <c:h val="0.97222222222222221"/>
        </c:manualLayout>
      </c:layout>
      <c:doughnutChart>
        <c:varyColors val="1"/>
        <c:ser>
          <c:idx val="0"/>
          <c:order val="0"/>
          <c:tx>
            <c:strRef>
              <c:f>December!$G$1</c:f>
              <c:strCache>
                <c:ptCount val="1"/>
                <c:pt idx="0">
                  <c:v>Total</c:v>
                </c:pt>
              </c:strCache>
            </c:strRef>
          </c:tx>
          <c:explosion val="3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B94F-4D35-9AB8-C0A5E30B9329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B94F-4D35-9AB8-C0A5E30B9329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B94F-4D35-9AB8-C0A5E30B9329}"/>
              </c:ext>
            </c:extLst>
          </c:dPt>
          <c:cat>
            <c:strRef>
              <c:f>December!$F$2:$F$3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December!$G$2:$G$3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487D-41F1-8D2C-AC55677C2D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6994444444444445"/>
          <c:y val="1.8518518518518517E-2"/>
          <c:w val="0.32450000000000001"/>
          <c:h val="0.9722222222222222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6350</xdr:colOff>
      <xdr:row>0</xdr:row>
      <xdr:rowOff>0</xdr:rowOff>
    </xdr:from>
    <xdr:to>
      <xdr:col>28</xdr:col>
      <xdr:colOff>603250</xdr:colOff>
      <xdr:row>30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260350</xdr:colOff>
          <xdr:row>0</xdr:row>
          <xdr:rowOff>0</xdr:rowOff>
        </xdr:from>
        <xdr:to>
          <xdr:col>14</xdr:col>
          <xdr:colOff>1174750</xdr:colOff>
          <xdr:row>1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63500</xdr:colOff>
          <xdr:row>1</xdr:row>
          <xdr:rowOff>12700</xdr:rowOff>
        </xdr:from>
        <xdr:to>
          <xdr:col>14</xdr:col>
          <xdr:colOff>1346200</xdr:colOff>
          <xdr:row>2</xdr:row>
          <xdr:rowOff>12700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Re-Categorize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9525</xdr:colOff>
      <xdr:row>0</xdr:row>
      <xdr:rowOff>0</xdr:rowOff>
    </xdr:from>
    <xdr:to>
      <xdr:col>15</xdr:col>
      <xdr:colOff>314325</xdr:colOff>
      <xdr:row>14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241300</xdr:colOff>
          <xdr:row>0</xdr:row>
          <xdr:rowOff>0</xdr:rowOff>
        </xdr:from>
        <xdr:to>
          <xdr:col>4</xdr:col>
          <xdr:colOff>1155700</xdr:colOff>
          <xdr:row>0</xdr:row>
          <xdr:rowOff>184150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606425</xdr:colOff>
      <xdr:row>0</xdr:row>
      <xdr:rowOff>0</xdr:rowOff>
    </xdr:from>
    <xdr:to>
      <xdr:col>15</xdr:col>
      <xdr:colOff>301625</xdr:colOff>
      <xdr:row>14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0</xdr:row>
          <xdr:rowOff>0</xdr:rowOff>
        </xdr:from>
        <xdr:to>
          <xdr:col>4</xdr:col>
          <xdr:colOff>1162050</xdr:colOff>
          <xdr:row>0</xdr:row>
          <xdr:rowOff>184150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3175</xdr:colOff>
      <xdr:row>0</xdr:row>
      <xdr:rowOff>0</xdr:rowOff>
    </xdr:from>
    <xdr:to>
      <xdr:col>15</xdr:col>
      <xdr:colOff>307975</xdr:colOff>
      <xdr:row>14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0</xdr:row>
          <xdr:rowOff>0</xdr:rowOff>
        </xdr:from>
        <xdr:to>
          <xdr:col>4</xdr:col>
          <xdr:colOff>1162050</xdr:colOff>
          <xdr:row>0</xdr:row>
          <xdr:rowOff>184150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15875</xdr:colOff>
      <xdr:row>0</xdr:row>
      <xdr:rowOff>9525</xdr:rowOff>
    </xdr:from>
    <xdr:to>
      <xdr:col>15</xdr:col>
      <xdr:colOff>320675</xdr:colOff>
      <xdr:row>14</xdr:row>
      <xdr:rowOff>161925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0</xdr:row>
          <xdr:rowOff>0</xdr:rowOff>
        </xdr:from>
        <xdr:to>
          <xdr:col>4</xdr:col>
          <xdr:colOff>1162050</xdr:colOff>
          <xdr:row>0</xdr:row>
          <xdr:rowOff>184150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600075</xdr:colOff>
      <xdr:row>0</xdr:row>
      <xdr:rowOff>0</xdr:rowOff>
    </xdr:from>
    <xdr:to>
      <xdr:col>15</xdr:col>
      <xdr:colOff>295275</xdr:colOff>
      <xdr:row>14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241300</xdr:colOff>
          <xdr:row>0</xdr:row>
          <xdr:rowOff>0</xdr:rowOff>
        </xdr:from>
        <xdr:to>
          <xdr:col>4</xdr:col>
          <xdr:colOff>1155700</xdr:colOff>
          <xdr:row>0</xdr:row>
          <xdr:rowOff>184150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606425</xdr:colOff>
      <xdr:row>0</xdr:row>
      <xdr:rowOff>0</xdr:rowOff>
    </xdr:from>
    <xdr:to>
      <xdr:col>15</xdr:col>
      <xdr:colOff>301625</xdr:colOff>
      <xdr:row>14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241300</xdr:colOff>
          <xdr:row>0</xdr:row>
          <xdr:rowOff>0</xdr:rowOff>
        </xdr:from>
        <xdr:to>
          <xdr:col>4</xdr:col>
          <xdr:colOff>1155700</xdr:colOff>
          <xdr:row>0</xdr:row>
          <xdr:rowOff>184150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606425</xdr:colOff>
      <xdr:row>0</xdr:row>
      <xdr:rowOff>3175</xdr:rowOff>
    </xdr:from>
    <xdr:to>
      <xdr:col>15</xdr:col>
      <xdr:colOff>301625</xdr:colOff>
      <xdr:row>14</xdr:row>
      <xdr:rowOff>155575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234950</xdr:colOff>
          <xdr:row>0</xdr:row>
          <xdr:rowOff>0</xdr:rowOff>
        </xdr:from>
        <xdr:to>
          <xdr:col>4</xdr:col>
          <xdr:colOff>1149350</xdr:colOff>
          <xdr:row>0</xdr:row>
          <xdr:rowOff>184150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3175</xdr:colOff>
      <xdr:row>0</xdr:row>
      <xdr:rowOff>0</xdr:rowOff>
    </xdr:from>
    <xdr:to>
      <xdr:col>15</xdr:col>
      <xdr:colOff>307975</xdr:colOff>
      <xdr:row>14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241300</xdr:colOff>
          <xdr:row>0</xdr:row>
          <xdr:rowOff>0</xdr:rowOff>
        </xdr:from>
        <xdr:to>
          <xdr:col>4</xdr:col>
          <xdr:colOff>1155700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8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15875</xdr:colOff>
      <xdr:row>0</xdr:row>
      <xdr:rowOff>0</xdr:rowOff>
    </xdr:from>
    <xdr:to>
      <xdr:col>15</xdr:col>
      <xdr:colOff>320675</xdr:colOff>
      <xdr:row>15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241300</xdr:colOff>
          <xdr:row>0</xdr:row>
          <xdr:rowOff>0</xdr:rowOff>
        </xdr:from>
        <xdr:to>
          <xdr:col>4</xdr:col>
          <xdr:colOff>1155700</xdr:colOff>
          <xdr:row>0</xdr:row>
          <xdr:rowOff>184150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9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9525</xdr:colOff>
      <xdr:row>0</xdr:row>
      <xdr:rowOff>0</xdr:rowOff>
    </xdr:from>
    <xdr:to>
      <xdr:col>15</xdr:col>
      <xdr:colOff>314325</xdr:colOff>
      <xdr:row>14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241300</xdr:colOff>
          <xdr:row>0</xdr:row>
          <xdr:rowOff>0</xdr:rowOff>
        </xdr:from>
        <xdr:to>
          <xdr:col>4</xdr:col>
          <xdr:colOff>1155700</xdr:colOff>
          <xdr:row>0</xdr:row>
          <xdr:rowOff>184150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A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15875</xdr:colOff>
      <xdr:row>0</xdr:row>
      <xdr:rowOff>0</xdr:rowOff>
    </xdr:from>
    <xdr:to>
      <xdr:col>15</xdr:col>
      <xdr:colOff>320675</xdr:colOff>
      <xdr:row>14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241300</xdr:colOff>
          <xdr:row>0</xdr:row>
          <xdr:rowOff>0</xdr:rowOff>
        </xdr:from>
        <xdr:to>
          <xdr:col>4</xdr:col>
          <xdr:colOff>1155700</xdr:colOff>
          <xdr:row>0</xdr:row>
          <xdr:rowOff>184150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B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3175</xdr:colOff>
      <xdr:row>0</xdr:row>
      <xdr:rowOff>0</xdr:rowOff>
    </xdr:from>
    <xdr:to>
      <xdr:col>15</xdr:col>
      <xdr:colOff>307975</xdr:colOff>
      <xdr:row>14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241300</xdr:colOff>
          <xdr:row>0</xdr:row>
          <xdr:rowOff>0</xdr:rowOff>
        </xdr:from>
        <xdr:to>
          <xdr:col>4</xdr:col>
          <xdr:colOff>1155700</xdr:colOff>
          <xdr:row>0</xdr:row>
          <xdr:rowOff>184150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C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_rels/pivotCacheDefinition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xml"/></Relationships>
</file>

<file path=xl/pivotCache/_rels/pivotCacheDefinition1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0.xml"/></Relationships>
</file>

<file path=xl/pivotCache/_rels/pivotCacheDefinition1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1.xml"/></Relationships>
</file>

<file path=xl/pivotCache/_rels/pivotCacheDefinition1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2.xml"/></Relationships>
</file>

<file path=xl/pivotCache/_rels/pivotCacheDefinition1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errin Hamilton" refreshedDate="43499.571486458335" createdVersion="6" refreshedVersion="6" minRefreshableVersion="3" recordCount="313" xr:uid="{8343A58E-27C1-4E8D-9813-B883A757A039}">
  <cacheSource type="consolidation">
    <consolidation autoPage="0">
      <pages count="1">
        <page count="14">
          <pageItem name="December"/>
          <pageItem name="February"/>
          <pageItem name="January"/>
          <pageItem name="July"/>
          <pageItem name="June"/>
          <pageItem name="March"/>
          <pageItem name="May"/>
          <pageItem name="Nov"/>
          <pageItem name="Oct"/>
          <pageItem name="November"/>
          <pageItem name="October"/>
          <pageItem name="September"/>
          <pageItem name="August"/>
          <pageItem name="April"/>
        </page>
      </pages>
      <rangeSets count="12">
        <rangeSet i1="13" name="AprTransactions[[#DATA],[Amount]:[Category]]"/>
        <rangeSet i1="12" name="AugTransactions[[#DATA],[Amount]:[Category]]"/>
        <rangeSet i1="0" name="DecTransactions[[#DATA],[Amount]:[Category]]"/>
        <rangeSet i1="1" name="FebTransactions[[#DATA],[Amount]:[Category]]"/>
        <rangeSet i1="2" name="JanTransactions[[#DATA],[Amount]:[Category]]"/>
        <rangeSet i1="3" name="JulTransactions[[#DATA],[Amount]:[Category]]"/>
        <rangeSet i1="4" name="JunTransactions[[#DATA],[Amount]:[Category]]"/>
        <rangeSet i1="5" name="MarTransactions[[#DATA],[Amount]:[Category]]"/>
        <rangeSet i1="6" name="MayTransactions[[#DATA],[Amount]:[Category]]"/>
        <rangeSet i1="9" name="NovTransactions[[#DATA],[Amount]:[Category]]"/>
        <rangeSet i1="10" name="OctTransactions[[#DATA],[Amount]:[Category]]"/>
        <rangeSet i1="11" name="SepTransactions[[#DATA],[Amount]:[Category]]"/>
      </rangeSets>
    </consolidation>
  </cacheSource>
  <cacheFields count="4">
    <cacheField name="Row" numFmtId="0">
      <sharedItems containsSemiMixedTypes="0" containsString="0" containsNumber="1" minValue="-1807.63" maxValue="1800"/>
    </cacheField>
    <cacheField name="Column" numFmtId="0">
      <sharedItems count="2">
        <s v="FAST FOOD"/>
        <s v="INCOME"/>
      </sharedItems>
    </cacheField>
    <cacheField name="Value" numFmtId="0">
      <sharedItems containsBlank="1" count="18">
        <m/>
        <s v="GROCERIES"/>
        <s v="ENTERTAINMENT"/>
        <s v="FAST FOOD"/>
        <s v="FUEL"/>
        <s v="CARD PAYMENT"/>
        <s v="INCOME"/>
        <s v="CAR PAYMENT"/>
        <s v="EDUCATION"/>
        <s v="CAR INSURANCE"/>
        <s v="ATM FEE"/>
        <s v="OVERDRAFT FEE"/>
        <s v="AMAZON"/>
        <s v="TAX REFUND"/>
        <s v="ONLINE FILES"/>
        <s v="CAR MAINTENANCE"/>
        <s v="REFUND"/>
        <s v="GROCERIEA" u="1"/>
      </sharedItems>
    </cacheField>
    <cacheField name="Page1" numFmtId="0">
      <sharedItems count="12">
        <s v="April"/>
        <s v="August"/>
        <s v="December"/>
        <s v="February"/>
        <s v="January"/>
        <s v="July"/>
        <s v="June"/>
        <s v="March"/>
        <s v="May"/>
        <s v="November"/>
        <s v="October"/>
        <s v="September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errin Hamilton" refreshedDate="43499.574652199073" createdVersion="6" refreshedVersion="6" minRefreshableVersion="3" recordCount="1" xr:uid="{6999BE7A-623E-484E-9E3A-3A562B5FD0B8}">
  <cacheSource type="worksheet">
    <worksheetSource name="AprTransactions"/>
  </cacheSource>
  <cacheFields count="4">
    <cacheField name="Date" numFmtId="14">
      <sharedItems containsNonDate="0" containsString="0" containsBlank="1"/>
    </cacheField>
    <cacheField name="Amount" numFmtId="164">
      <sharedItems containsNonDate="0" containsString="0" containsBlank="1"/>
    </cacheField>
    <cacheField name="Category" numFmtId="49">
      <sharedItems containsNonDate="0" containsBlank="1" count="11">
        <m/>
        <s v="GROCERIES" u="1"/>
        <s v="CARD PAYMENT" u="1"/>
        <s v="EDUCATION" u="1"/>
        <s v="CAR PAYMENT" u="1"/>
        <s v="FUEL" u="1"/>
        <s v="FAST FOOD" u="1"/>
        <s v="GROCERIEA" u="1"/>
        <s v="INCOME" u="1"/>
        <s v="AMAZON" u="1"/>
        <s v="ENTERTAINMENT" u="1"/>
      </sharedItems>
    </cacheField>
    <cacheField name="Description" numFmtId="49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errin Hamilton" refreshedDate="43499.574652199073" createdVersion="6" refreshedVersion="6" minRefreshableVersion="3" recordCount="1" xr:uid="{9A9074CF-9747-42CC-995F-C1445588D20D}">
  <cacheSource type="worksheet">
    <worksheetSource name="MayTransactions"/>
  </cacheSource>
  <cacheFields count="4">
    <cacheField name="Date" numFmtId="14">
      <sharedItems containsNonDate="0" containsString="0" containsBlank="1"/>
    </cacheField>
    <cacheField name="Amount" numFmtId="164">
      <sharedItems containsNonDate="0" containsString="0" containsBlank="1"/>
    </cacheField>
    <cacheField name="Category" numFmtId="49">
      <sharedItems containsNonDate="0" containsBlank="1" count="14">
        <m/>
        <s v="GROCERIES" u="1"/>
        <s v="CAR INSURANCE" u="1"/>
        <s v="CARD PAYMENT" u="1"/>
        <s v="ATM FEE" u="1"/>
        <s v="EDUCATION" u="1"/>
        <s v="CAR PAYMENT" u="1"/>
        <s v="FUEL" u="1"/>
        <s v="FAST FOOD" u="1"/>
        <s v="CAR MAINTENANCE" u="1"/>
        <s v="GROCERIEA" u="1"/>
        <s v="OVERDRAFT FEE" u="1"/>
        <s v="INCOME" u="1"/>
        <s v="AMAZON" u="1"/>
      </sharedItems>
    </cacheField>
    <cacheField name="Description" numFmtId="49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errin Hamilton" refreshedDate="43499.574652314812" createdVersion="6" refreshedVersion="6" minRefreshableVersion="3" recordCount="1" xr:uid="{A35A5B75-9F0E-4EC8-9516-323282FE3809}">
  <cacheSource type="worksheet">
    <worksheetSource name="JunTransactions"/>
  </cacheSource>
  <cacheFields count="4">
    <cacheField name="Date" numFmtId="14">
      <sharedItems containsNonDate="0" containsString="0" containsBlank="1"/>
    </cacheField>
    <cacheField name="Amount" numFmtId="164">
      <sharedItems containsNonDate="0" containsString="0" containsBlank="1"/>
    </cacheField>
    <cacheField name="Category" numFmtId="49">
      <sharedItems containsNonDate="0" containsBlank="1" count="5">
        <m/>
        <s v="CAR INSURANCE" u="1"/>
        <s v="CARD PAYMENT" u="1"/>
        <s v="CAR PAYMENT" u="1"/>
        <s v="INCOME" u="1"/>
      </sharedItems>
    </cacheField>
    <cacheField name="Description" numFmtId="49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errin Hamilton" refreshedDate="43499.574652314812" createdVersion="6" refreshedVersion="6" minRefreshableVersion="3" recordCount="1" xr:uid="{ED126B42-FD9B-4E72-B042-8D32BB03F1EC}">
  <cacheSource type="worksheet">
    <worksheetSource name="JulTransactions"/>
  </cacheSource>
  <cacheFields count="4">
    <cacheField name="Date" numFmtId="14">
      <sharedItems containsNonDate="0" containsString="0" containsBlank="1"/>
    </cacheField>
    <cacheField name="Amount" numFmtId="164">
      <sharedItems containsNonDate="0" containsString="0" containsBlank="1"/>
    </cacheField>
    <cacheField name="Category" numFmtId="49">
      <sharedItems containsNonDate="0" containsBlank="1" count="6">
        <m/>
        <s v="CAR INSURANCE" u="1"/>
        <s v="CARD PAYMENT" u="1"/>
        <s v="CAR PAYMENT" u="1"/>
        <s v="OVERDRAFT FEE" u="1"/>
        <s v="INCOME" u="1"/>
      </sharedItems>
    </cacheField>
    <cacheField name="Description" numFmtId="49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errin Hamilton" refreshedDate="43499.574652314812" createdVersion="6" refreshedVersion="6" minRefreshableVersion="3" recordCount="1" xr:uid="{C2F28FEF-CC46-4B4E-8E96-AED412901A2E}">
  <cacheSource type="worksheet">
    <worksheetSource name="AugTransactions"/>
  </cacheSource>
  <cacheFields count="4">
    <cacheField name="Date" numFmtId="14">
      <sharedItems containsNonDate="0" containsString="0" containsBlank="1"/>
    </cacheField>
    <cacheField name="Amount" numFmtId="164">
      <sharedItems containsNonDate="0" containsString="0" containsBlank="1"/>
    </cacheField>
    <cacheField name="Category" numFmtId="49">
      <sharedItems containsNonDate="0" containsBlank="1" count="6">
        <m/>
        <s v="CAR INSURANCE" u="1"/>
        <s v="CARD PAYMENT" u="1"/>
        <s v="ATM FEE" u="1"/>
        <s v="CAR PAYMENT" u="1"/>
        <s v="INCOME" u="1"/>
      </sharedItems>
    </cacheField>
    <cacheField name="Description" numFmtId="49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errin Hamilton" refreshedDate="43499.574652430558" createdVersion="6" refreshedVersion="6" minRefreshableVersion="3" recordCount="1" xr:uid="{992C736B-B2FB-4874-BF2B-6BE36C9244DA}">
  <cacheSource type="worksheet">
    <worksheetSource name="SepTransactions"/>
  </cacheSource>
  <cacheFields count="4">
    <cacheField name="Date" numFmtId="14">
      <sharedItems containsNonDate="0" containsString="0" containsBlank="1"/>
    </cacheField>
    <cacheField name="Amount" numFmtId="164">
      <sharedItems containsNonDate="0" containsString="0" containsBlank="1"/>
    </cacheField>
    <cacheField name="Category" numFmtId="49">
      <sharedItems containsNonDate="0" containsBlank="1" count="11">
        <m/>
        <s v="GROCERIES" u="1"/>
        <s v="CARD PAYMENT" u="1"/>
        <s v="CAR PAYMENT" u="1"/>
        <s v="FUEL" u="1"/>
        <s v="FAST FOOD" u="1"/>
        <s v="CAR MAINTENANCE" u="1"/>
        <s v="GROCERIEA" u="1"/>
        <s v="INCOME" u="1"/>
        <s v="AMAZON" u="1"/>
        <s v="ENTERTAINMENT" u="1"/>
      </sharedItems>
    </cacheField>
    <cacheField name="Description" numFmtId="49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errin Hamilton" refreshedDate="43499.574652430558" createdVersion="6" refreshedVersion="6" minRefreshableVersion="3" recordCount="1" xr:uid="{08D8C9C8-2972-408A-BEA0-74DCD64555E5}">
  <cacheSource type="worksheet">
    <worksheetSource name="OctTransactions"/>
  </cacheSource>
  <cacheFields count="4">
    <cacheField name="Date" numFmtId="14">
      <sharedItems containsNonDate="0" containsString="0" containsBlank="1"/>
    </cacheField>
    <cacheField name="Amount" numFmtId="164">
      <sharedItems containsNonDate="0" containsString="0" containsBlank="1"/>
    </cacheField>
    <cacheField name="Category" numFmtId="49">
      <sharedItems containsNonDate="0" containsBlank="1" count="6">
        <m/>
        <s v="CAR INSURANCE" u="1"/>
        <s v="CARD PAYMENT" u="1"/>
        <s v="ATM FEE" u="1"/>
        <s v="CAR PAYMENT" u="1"/>
        <s v="INCOME" u="1"/>
      </sharedItems>
    </cacheField>
    <cacheField name="Description" numFmtId="49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errin Hamilton" refreshedDate="43499.574652430558" createdVersion="6" refreshedVersion="6" minRefreshableVersion="3" recordCount="1" xr:uid="{360835BD-B100-4CB7-B747-2DE52E37D85E}">
  <cacheSource type="worksheet">
    <worksheetSource name="NovTransactions"/>
  </cacheSource>
  <cacheFields count="4">
    <cacheField name="Date" numFmtId="14">
      <sharedItems containsNonDate="0" containsString="0" containsBlank="1"/>
    </cacheField>
    <cacheField name="Amount" numFmtId="164">
      <sharedItems containsNonDate="0" containsString="0" containsBlank="1"/>
    </cacheField>
    <cacheField name="Category" numFmtId="49">
      <sharedItems containsNonDate="0" containsBlank="1" count="4">
        <m/>
        <s v="CARD PAYMENT" u="1"/>
        <s v="CAR PAYMENT" u="1"/>
        <s v="INCOME" u="1"/>
      </sharedItems>
    </cacheField>
    <cacheField name="Description" numFmtId="49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errin Hamilton" refreshedDate="43499.574652546296" createdVersion="6" refreshedVersion="6" minRefreshableVersion="3" recordCount="1" xr:uid="{4FBE8A32-36E5-480B-BC2F-BED26B4C335E}">
  <cacheSource type="worksheet">
    <worksheetSource name="DecTransactions"/>
  </cacheSource>
  <cacheFields count="4">
    <cacheField name="Date" numFmtId="14">
      <sharedItems containsNonDate="0" containsString="0" containsBlank="1"/>
    </cacheField>
    <cacheField name="Amount" numFmtId="164">
      <sharedItems containsNonDate="0" containsString="0" containsBlank="1"/>
    </cacheField>
    <cacheField name="Category" numFmtId="49">
      <sharedItems containsNonDate="0" containsBlank="1" count="4">
        <m/>
        <s v="CARD PAYMENT" u="1"/>
        <s v="CAR PAYMENT" u="1"/>
        <s v="INCOME" u="1"/>
      </sharedItems>
    </cacheField>
    <cacheField name="Description" numFmtId="49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errin Hamilton" refreshedDate="43499.575420601854" createdVersion="6" refreshedVersion="6" minRefreshableVersion="3" recordCount="1" xr:uid="{AC886140-BC75-40B8-AEB8-86D803FF24B1}">
  <cacheSource type="worksheet">
    <worksheetSource name="FebTransactions"/>
  </cacheSource>
  <cacheFields count="4">
    <cacheField name="Date" numFmtId="14">
      <sharedItems containsNonDate="0" containsString="0" containsBlank="1"/>
    </cacheField>
    <cacheField name="Amount" numFmtId="164">
      <sharedItems containsNonDate="0" containsString="0" containsBlank="1"/>
    </cacheField>
    <cacheField name="Category" numFmtId="49">
      <sharedItems containsNonDate="0" containsBlank="1" count="14">
        <m/>
        <s v="GROCERIES" u="1"/>
        <s v="CARD PAYMENT" u="1"/>
        <s v="EDUCATION" u="1"/>
        <s v="CAR PAYMENT" u="1"/>
        <s v="FUEL" u="1"/>
        <s v="FAST FOOD" u="1"/>
        <s v="GROCERIEA" u="1"/>
        <s v="OVERDRAFT FEE" u="1"/>
        <s v="INCOME" u="1"/>
        <s v="AMAZON" u="1"/>
        <s v="TAX REFUND" u="1"/>
        <s v="ONLINE FILES" u="1"/>
        <s v="ENTERTAINMENT" u="1"/>
      </sharedItems>
    </cacheField>
    <cacheField name="Description" numFmtId="49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errin Hamilton" refreshedDate="43500.564029861111" createdVersion="6" refreshedVersion="6" minRefreshableVersion="3" recordCount="1" xr:uid="{AD655430-2AD2-4286-A3B3-043371CFFA8E}">
  <cacheSource type="worksheet">
    <worksheetSource name="JanTransactions"/>
  </cacheSource>
  <cacheFields count="4">
    <cacheField name="Date" numFmtId="14">
      <sharedItems containsNonDate="0" containsString="0" containsBlank="1"/>
    </cacheField>
    <cacheField name="Amount" numFmtId="164">
      <sharedItems containsNonDate="0" containsString="0" containsBlank="1"/>
    </cacheField>
    <cacheField name="Category" numFmtId="49">
      <sharedItems containsNonDate="0" containsBlank="1" count="13">
        <m/>
        <s v="GROCERIES" u="1"/>
        <s v="CAR INSURANCE" u="1"/>
        <s v="CARD PAYMENT" u="1"/>
        <s v="EDUCATION" u="1"/>
        <s v="CAR PAYMENT" u="1"/>
        <s v="FUEL" u="1"/>
        <s v="FAST FOOD" u="1"/>
        <s v="GROCERIEA" u="1"/>
        <s v="INCOME" u="1"/>
        <s v="AMAZON" u="1"/>
        <s v="ONLINE FILES" u="1"/>
        <s v="ENTERTAINMENT" u="1"/>
      </sharedItems>
    </cacheField>
    <cacheField name="Description" numFmtId="49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errin Hamilton" refreshedDate="43500.564029976849" createdVersion="6" refreshedVersion="6" minRefreshableVersion="3" recordCount="1" xr:uid="{12B51BFB-1CED-45FE-817E-6C80F914D0D6}">
  <cacheSource type="worksheet">
    <worksheetSource name="MarTransactions"/>
  </cacheSource>
  <cacheFields count="4">
    <cacheField name="Date" numFmtId="14">
      <sharedItems containsNonDate="0" containsString="0" containsBlank="1"/>
    </cacheField>
    <cacheField name="Amount" numFmtId="164">
      <sharedItems containsNonDate="0" containsString="0" containsBlank="1"/>
    </cacheField>
    <cacheField name="Category" numFmtId="49">
      <sharedItems containsNonDate="0" containsBlank="1" count="14">
        <m/>
        <s v="GROCERIES" u="1"/>
        <s v="REFUND" u="1"/>
        <s v="CAR INSURANCE" u="1"/>
        <s v="CARD PAYMENT" u="1"/>
        <s v="EDUCATION" u="1"/>
        <s v="CAR PAYMENT" u="1"/>
        <s v="FUEL" u="1"/>
        <s v="FAST FOOD" u="1"/>
        <s v="CAR MAINTENANCE" u="1"/>
        <s v="GROCERIEA" u="1"/>
        <s v="INCOME" u="1"/>
        <s v="AMAZON" u="1"/>
        <s v="ENTERTAINMENT" u="1"/>
      </sharedItems>
    </cacheField>
    <cacheField name="Description" numFmtId="49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3">
  <r>
    <n v="-4.0999999999999996"/>
    <x v="0"/>
    <x v="0"/>
    <x v="0"/>
  </r>
  <r>
    <n v="-34.270000000000003"/>
    <x v="0"/>
    <x v="1"/>
    <x v="0"/>
  </r>
  <r>
    <n v="-40"/>
    <x v="0"/>
    <x v="0"/>
    <x v="0"/>
  </r>
  <r>
    <n v="-5.99"/>
    <x v="0"/>
    <x v="2"/>
    <x v="0"/>
  </r>
  <r>
    <n v="-3.92"/>
    <x v="0"/>
    <x v="3"/>
    <x v="0"/>
  </r>
  <r>
    <n v="-7.27"/>
    <x v="0"/>
    <x v="4"/>
    <x v="0"/>
  </r>
  <r>
    <n v="-84.03"/>
    <x v="0"/>
    <x v="0"/>
    <x v="0"/>
  </r>
  <r>
    <n v="-8.67"/>
    <x v="0"/>
    <x v="1"/>
    <x v="0"/>
  </r>
  <r>
    <n v="-33.25"/>
    <x v="0"/>
    <x v="4"/>
    <x v="0"/>
  </r>
  <r>
    <n v="-14.95"/>
    <x v="0"/>
    <x v="5"/>
    <x v="0"/>
  </r>
  <r>
    <n v="-4.84"/>
    <x v="0"/>
    <x v="3"/>
    <x v="0"/>
  </r>
  <r>
    <n v="-501.71"/>
    <x v="0"/>
    <x v="0"/>
    <x v="0"/>
  </r>
  <r>
    <n v="-37.200000000000003"/>
    <x v="0"/>
    <x v="4"/>
    <x v="0"/>
  </r>
  <r>
    <n v="-7.84"/>
    <x v="0"/>
    <x v="3"/>
    <x v="0"/>
  </r>
  <r>
    <n v="-18.82"/>
    <x v="0"/>
    <x v="3"/>
    <x v="0"/>
  </r>
  <r>
    <n v="873.58"/>
    <x v="0"/>
    <x v="6"/>
    <x v="0"/>
  </r>
  <r>
    <n v="-4.1100000000000003"/>
    <x v="0"/>
    <x v="4"/>
    <x v="0"/>
  </r>
  <r>
    <n v="-336.39"/>
    <x v="0"/>
    <x v="7"/>
    <x v="0"/>
  </r>
  <r>
    <n v="-9.69"/>
    <x v="0"/>
    <x v="3"/>
    <x v="0"/>
  </r>
  <r>
    <n v="-5.14"/>
    <x v="0"/>
    <x v="4"/>
    <x v="0"/>
  </r>
  <r>
    <n v="-33"/>
    <x v="0"/>
    <x v="4"/>
    <x v="0"/>
  </r>
  <r>
    <n v="-3.78"/>
    <x v="0"/>
    <x v="4"/>
    <x v="0"/>
  </r>
  <r>
    <n v="-6.33"/>
    <x v="0"/>
    <x v="3"/>
    <x v="0"/>
  </r>
  <r>
    <n v="-76.319999999999993"/>
    <x v="0"/>
    <x v="0"/>
    <x v="0"/>
  </r>
  <r>
    <n v="-14.99"/>
    <x v="0"/>
    <x v="2"/>
    <x v="0"/>
  </r>
  <r>
    <n v="-33"/>
    <x v="0"/>
    <x v="4"/>
    <x v="0"/>
  </r>
  <r>
    <n v="-7.07"/>
    <x v="0"/>
    <x v="3"/>
    <x v="0"/>
  </r>
  <r>
    <n v="-12.33"/>
    <x v="0"/>
    <x v="3"/>
    <x v="0"/>
  </r>
  <r>
    <n v="-9.99"/>
    <x v="0"/>
    <x v="8"/>
    <x v="0"/>
  </r>
  <r>
    <n v="-12.18"/>
    <x v="0"/>
    <x v="3"/>
    <x v="0"/>
  </r>
  <r>
    <n v="-14.99"/>
    <x v="0"/>
    <x v="8"/>
    <x v="0"/>
  </r>
  <r>
    <n v="-27.53"/>
    <x v="0"/>
    <x v="0"/>
    <x v="0"/>
  </r>
  <r>
    <n v="-33.299999999999997"/>
    <x v="0"/>
    <x v="0"/>
    <x v="0"/>
  </r>
  <r>
    <n v="0.01"/>
    <x v="1"/>
    <x v="6"/>
    <x v="1"/>
  </r>
  <r>
    <n v="-204.53"/>
    <x v="1"/>
    <x v="9"/>
    <x v="1"/>
  </r>
  <r>
    <n v="-20"/>
    <x v="1"/>
    <x v="0"/>
    <x v="1"/>
  </r>
  <r>
    <n v="-1.5"/>
    <x v="1"/>
    <x v="10"/>
    <x v="1"/>
  </r>
  <r>
    <n v="-2.5"/>
    <x v="1"/>
    <x v="0"/>
    <x v="1"/>
  </r>
  <r>
    <n v="-14.95"/>
    <x v="1"/>
    <x v="5"/>
    <x v="1"/>
  </r>
  <r>
    <n v="-288.18"/>
    <x v="1"/>
    <x v="5"/>
    <x v="1"/>
  </r>
  <r>
    <n v="968.43"/>
    <x v="1"/>
    <x v="6"/>
    <x v="1"/>
  </r>
  <r>
    <n v="-336.39"/>
    <x v="1"/>
    <x v="7"/>
    <x v="1"/>
  </r>
  <r>
    <n v="-1064.9000000000001"/>
    <x v="1"/>
    <x v="5"/>
    <x v="1"/>
  </r>
  <r>
    <n v="-501.38"/>
    <x v="1"/>
    <x v="5"/>
    <x v="2"/>
  </r>
  <r>
    <n v="0.01"/>
    <x v="1"/>
    <x v="6"/>
    <x v="2"/>
  </r>
  <r>
    <n v="-239.15"/>
    <x v="1"/>
    <x v="0"/>
    <x v="2"/>
  </r>
  <r>
    <n v="-14.95"/>
    <x v="1"/>
    <x v="5"/>
    <x v="2"/>
  </r>
  <r>
    <n v="810.35"/>
    <x v="1"/>
    <x v="6"/>
    <x v="2"/>
  </r>
  <r>
    <n v="-336.39"/>
    <x v="1"/>
    <x v="7"/>
    <x v="2"/>
  </r>
  <r>
    <n v="-410.74"/>
    <x v="1"/>
    <x v="5"/>
    <x v="2"/>
  </r>
  <r>
    <n v="-672.53"/>
    <x v="1"/>
    <x v="0"/>
    <x v="3"/>
  </r>
  <r>
    <n v="0.01"/>
    <x v="1"/>
    <x v="6"/>
    <x v="3"/>
  </r>
  <r>
    <n v="-30.71"/>
    <x v="1"/>
    <x v="4"/>
    <x v="3"/>
  </r>
  <r>
    <n v="-84.04"/>
    <x v="1"/>
    <x v="0"/>
    <x v="3"/>
  </r>
  <r>
    <n v="-7.89"/>
    <x v="1"/>
    <x v="4"/>
    <x v="3"/>
  </r>
  <r>
    <n v="-15.99"/>
    <x v="1"/>
    <x v="2"/>
    <x v="3"/>
  </r>
  <r>
    <n v="56.5"/>
    <x v="1"/>
    <x v="11"/>
    <x v="3"/>
  </r>
  <r>
    <n v="-8.09"/>
    <x v="1"/>
    <x v="12"/>
    <x v="3"/>
  </r>
  <r>
    <n v="-14.95"/>
    <x v="1"/>
    <x v="5"/>
    <x v="3"/>
  </r>
  <r>
    <n v="-36.47"/>
    <x v="1"/>
    <x v="2"/>
    <x v="3"/>
  </r>
  <r>
    <n v="-3.92"/>
    <x v="1"/>
    <x v="3"/>
    <x v="3"/>
  </r>
  <r>
    <n v="-3.99"/>
    <x v="1"/>
    <x v="2"/>
    <x v="3"/>
  </r>
  <r>
    <n v="1240"/>
    <x v="1"/>
    <x v="13"/>
    <x v="3"/>
  </r>
  <r>
    <n v="-1.99"/>
    <x v="1"/>
    <x v="14"/>
    <x v="3"/>
  </r>
  <r>
    <n v="-3.92"/>
    <x v="1"/>
    <x v="3"/>
    <x v="3"/>
  </r>
  <r>
    <n v="-3.99"/>
    <x v="1"/>
    <x v="2"/>
    <x v="3"/>
  </r>
  <r>
    <n v="-5.44"/>
    <x v="1"/>
    <x v="3"/>
    <x v="3"/>
  </r>
  <r>
    <n v="-9.99"/>
    <x v="1"/>
    <x v="2"/>
    <x v="3"/>
  </r>
  <r>
    <n v="-12.77"/>
    <x v="1"/>
    <x v="3"/>
    <x v="3"/>
  </r>
  <r>
    <n v="-34.4"/>
    <x v="1"/>
    <x v="4"/>
    <x v="3"/>
  </r>
  <r>
    <n v="-19.98"/>
    <x v="1"/>
    <x v="2"/>
    <x v="3"/>
  </r>
  <r>
    <n v="-66.989999999999995"/>
    <x v="1"/>
    <x v="2"/>
    <x v="3"/>
  </r>
  <r>
    <n v="997.73"/>
    <x v="1"/>
    <x v="6"/>
    <x v="3"/>
  </r>
  <r>
    <n v="104"/>
    <x v="1"/>
    <x v="13"/>
    <x v="3"/>
  </r>
  <r>
    <n v="-4.3600000000000003"/>
    <x v="1"/>
    <x v="1"/>
    <x v="3"/>
  </r>
  <r>
    <n v="-336.39"/>
    <x v="1"/>
    <x v="7"/>
    <x v="3"/>
  </r>
  <r>
    <n v="-2.59"/>
    <x v="1"/>
    <x v="1"/>
    <x v="3"/>
  </r>
  <r>
    <n v="-3.15"/>
    <x v="1"/>
    <x v="3"/>
    <x v="3"/>
  </r>
  <r>
    <n v="-5.44"/>
    <x v="1"/>
    <x v="3"/>
    <x v="3"/>
  </r>
  <r>
    <n v="-11.99"/>
    <x v="1"/>
    <x v="8"/>
    <x v="3"/>
  </r>
  <r>
    <n v="-1.73"/>
    <x v="1"/>
    <x v="1"/>
    <x v="3"/>
  </r>
  <r>
    <n v="-43.7"/>
    <x v="1"/>
    <x v="4"/>
    <x v="3"/>
  </r>
  <r>
    <n v="-114"/>
    <x v="1"/>
    <x v="5"/>
    <x v="3"/>
  </r>
  <r>
    <n v="-3.99"/>
    <x v="1"/>
    <x v="2"/>
    <x v="3"/>
  </r>
  <r>
    <n v="-8.3699999999999992"/>
    <x v="1"/>
    <x v="3"/>
    <x v="3"/>
  </r>
  <r>
    <n v="-9.2100000000000009"/>
    <x v="1"/>
    <x v="1"/>
    <x v="3"/>
  </r>
  <r>
    <n v="-80"/>
    <x v="1"/>
    <x v="0"/>
    <x v="3"/>
  </r>
  <r>
    <n v="-3.92"/>
    <x v="1"/>
    <x v="3"/>
    <x v="3"/>
  </r>
  <r>
    <n v="-4.3600000000000003"/>
    <x v="1"/>
    <x v="1"/>
    <x v="3"/>
  </r>
  <r>
    <n v="-9.25"/>
    <x v="1"/>
    <x v="3"/>
    <x v="3"/>
  </r>
  <r>
    <n v="-2.99"/>
    <x v="1"/>
    <x v="8"/>
    <x v="3"/>
  </r>
  <r>
    <n v="-4.99"/>
    <x v="1"/>
    <x v="8"/>
    <x v="3"/>
  </r>
  <r>
    <n v="-36.619999999999997"/>
    <x v="1"/>
    <x v="4"/>
    <x v="3"/>
  </r>
  <r>
    <n v="-2.99"/>
    <x v="1"/>
    <x v="0"/>
    <x v="3"/>
  </r>
  <r>
    <n v="-27.95"/>
    <x v="1"/>
    <x v="12"/>
    <x v="3"/>
  </r>
  <r>
    <n v="-100"/>
    <x v="1"/>
    <x v="0"/>
    <x v="3"/>
  </r>
  <r>
    <n v="-25.64"/>
    <x v="1"/>
    <x v="3"/>
    <x v="3"/>
  </r>
  <r>
    <n v="-123.39"/>
    <x v="1"/>
    <x v="9"/>
    <x v="4"/>
  </r>
  <r>
    <n v="0.01"/>
    <x v="1"/>
    <x v="6"/>
    <x v="4"/>
  </r>
  <r>
    <n v="-3.7"/>
    <x v="1"/>
    <x v="3"/>
    <x v="4"/>
  </r>
  <r>
    <n v="-6.11"/>
    <x v="1"/>
    <x v="3"/>
    <x v="4"/>
  </r>
  <r>
    <n v="-11.99"/>
    <x v="1"/>
    <x v="8"/>
    <x v="4"/>
  </r>
  <r>
    <n v="-31.5"/>
    <x v="1"/>
    <x v="4"/>
    <x v="4"/>
  </r>
  <r>
    <n v="-84.21"/>
    <x v="1"/>
    <x v="0"/>
    <x v="4"/>
  </r>
  <r>
    <n v="-3.26"/>
    <x v="1"/>
    <x v="3"/>
    <x v="4"/>
  </r>
  <r>
    <n v="-31.4"/>
    <x v="1"/>
    <x v="4"/>
    <x v="4"/>
  </r>
  <r>
    <n v="-14.95"/>
    <x v="1"/>
    <x v="5"/>
    <x v="4"/>
  </r>
  <r>
    <n v="333.79"/>
    <x v="1"/>
    <x v="0"/>
    <x v="4"/>
  </r>
  <r>
    <n v="-5.99"/>
    <x v="1"/>
    <x v="8"/>
    <x v="4"/>
  </r>
  <r>
    <n v="-9.69"/>
    <x v="1"/>
    <x v="3"/>
    <x v="4"/>
  </r>
  <r>
    <n v="-40"/>
    <x v="1"/>
    <x v="0"/>
    <x v="4"/>
  </r>
  <r>
    <n v="-5.99"/>
    <x v="1"/>
    <x v="2"/>
    <x v="4"/>
  </r>
  <r>
    <n v="-6.99"/>
    <x v="1"/>
    <x v="2"/>
    <x v="4"/>
  </r>
  <r>
    <n v="-6.11"/>
    <x v="1"/>
    <x v="3"/>
    <x v="4"/>
  </r>
  <r>
    <n v="-9.25"/>
    <x v="1"/>
    <x v="3"/>
    <x v="4"/>
  </r>
  <r>
    <n v="-333.79"/>
    <x v="1"/>
    <x v="7"/>
    <x v="4"/>
  </r>
  <r>
    <n v="-1.99"/>
    <x v="1"/>
    <x v="14"/>
    <x v="4"/>
  </r>
  <r>
    <n v="-6.11"/>
    <x v="1"/>
    <x v="3"/>
    <x v="4"/>
  </r>
  <r>
    <n v="-36.619999999999997"/>
    <x v="1"/>
    <x v="4"/>
    <x v="4"/>
  </r>
  <r>
    <n v="-3.99"/>
    <x v="1"/>
    <x v="2"/>
    <x v="4"/>
  </r>
  <r>
    <n v="-9.69"/>
    <x v="1"/>
    <x v="3"/>
    <x v="4"/>
  </r>
  <r>
    <n v="932.79"/>
    <x v="1"/>
    <x v="6"/>
    <x v="4"/>
  </r>
  <r>
    <n v="-8.5"/>
    <x v="1"/>
    <x v="3"/>
    <x v="4"/>
  </r>
  <r>
    <n v="-18.46"/>
    <x v="1"/>
    <x v="0"/>
    <x v="4"/>
  </r>
  <r>
    <n v="-336.39"/>
    <x v="1"/>
    <x v="7"/>
    <x v="4"/>
  </r>
  <r>
    <n v="-32.01"/>
    <x v="1"/>
    <x v="4"/>
    <x v="4"/>
  </r>
  <r>
    <n v="-9.99"/>
    <x v="1"/>
    <x v="8"/>
    <x v="4"/>
  </r>
  <r>
    <n v="-10"/>
    <x v="1"/>
    <x v="0"/>
    <x v="4"/>
  </r>
  <r>
    <n v="-20"/>
    <x v="1"/>
    <x v="4"/>
    <x v="4"/>
  </r>
  <r>
    <n v="45"/>
    <x v="1"/>
    <x v="6"/>
    <x v="4"/>
  </r>
  <r>
    <n v="-6.1"/>
    <x v="1"/>
    <x v="3"/>
    <x v="4"/>
  </r>
  <r>
    <n v="-3.92"/>
    <x v="1"/>
    <x v="3"/>
    <x v="4"/>
  </r>
  <r>
    <n v="-20"/>
    <x v="1"/>
    <x v="0"/>
    <x v="4"/>
  </r>
  <r>
    <n v="-16.989999999999998"/>
    <x v="1"/>
    <x v="2"/>
    <x v="4"/>
  </r>
  <r>
    <n v="-2.99"/>
    <x v="1"/>
    <x v="0"/>
    <x v="4"/>
  </r>
  <r>
    <n v="-29.4"/>
    <x v="1"/>
    <x v="4"/>
    <x v="4"/>
  </r>
  <r>
    <n v="-3.64"/>
    <x v="1"/>
    <x v="1"/>
    <x v="4"/>
  </r>
  <r>
    <n v="-3.99"/>
    <x v="1"/>
    <x v="8"/>
    <x v="4"/>
  </r>
  <r>
    <n v="-9.99"/>
    <x v="1"/>
    <x v="8"/>
    <x v="4"/>
  </r>
  <r>
    <n v="-33.61"/>
    <x v="1"/>
    <x v="0"/>
    <x v="4"/>
  </r>
  <r>
    <n v="-123.39"/>
    <x v="1"/>
    <x v="9"/>
    <x v="4"/>
  </r>
  <r>
    <n v="0.01"/>
    <x v="1"/>
    <x v="6"/>
    <x v="5"/>
  </r>
  <r>
    <n v="-204.53"/>
    <x v="1"/>
    <x v="9"/>
    <x v="5"/>
  </r>
  <r>
    <n v="-14.95"/>
    <x v="1"/>
    <x v="5"/>
    <x v="5"/>
  </r>
  <r>
    <n v="230"/>
    <x v="1"/>
    <x v="6"/>
    <x v="5"/>
  </r>
  <r>
    <n v="300"/>
    <x v="1"/>
    <x v="11"/>
    <x v="5"/>
  </r>
  <r>
    <n v="-50"/>
    <x v="1"/>
    <x v="0"/>
    <x v="5"/>
  </r>
  <r>
    <n v="-874.95"/>
    <x v="1"/>
    <x v="5"/>
    <x v="5"/>
  </r>
  <r>
    <n v="895.47"/>
    <x v="1"/>
    <x v="6"/>
    <x v="5"/>
  </r>
  <r>
    <n v="-336.39"/>
    <x v="1"/>
    <x v="7"/>
    <x v="5"/>
  </r>
  <r>
    <n v="-692.96"/>
    <x v="1"/>
    <x v="5"/>
    <x v="5"/>
  </r>
  <r>
    <n v="-204.53"/>
    <x v="1"/>
    <x v="9"/>
    <x v="6"/>
  </r>
  <r>
    <n v="0.01"/>
    <x v="1"/>
    <x v="6"/>
    <x v="6"/>
  </r>
  <r>
    <n v="-223.59"/>
    <x v="1"/>
    <x v="5"/>
    <x v="6"/>
  </r>
  <r>
    <n v="-14.95"/>
    <x v="1"/>
    <x v="5"/>
    <x v="6"/>
  </r>
  <r>
    <n v="-1807.63"/>
    <x v="1"/>
    <x v="5"/>
    <x v="6"/>
  </r>
  <r>
    <n v="1800"/>
    <x v="1"/>
    <x v="0"/>
    <x v="6"/>
  </r>
  <r>
    <n v="883.5"/>
    <x v="1"/>
    <x v="6"/>
    <x v="6"/>
  </r>
  <r>
    <n v="-336.39"/>
    <x v="1"/>
    <x v="7"/>
    <x v="6"/>
  </r>
  <r>
    <n v="-100"/>
    <x v="1"/>
    <x v="5"/>
    <x v="6"/>
  </r>
  <r>
    <n v="-37.06"/>
    <x v="1"/>
    <x v="0"/>
    <x v="6"/>
  </r>
  <r>
    <n v="-126.81"/>
    <x v="1"/>
    <x v="9"/>
    <x v="7"/>
  </r>
  <r>
    <n v="1.98"/>
    <x v="1"/>
    <x v="6"/>
    <x v="7"/>
  </r>
  <r>
    <n v="-3.99"/>
    <x v="1"/>
    <x v="4"/>
    <x v="7"/>
  </r>
  <r>
    <n v="-7.51"/>
    <x v="1"/>
    <x v="3"/>
    <x v="7"/>
  </r>
  <r>
    <n v="-34.6"/>
    <x v="1"/>
    <x v="4"/>
    <x v="7"/>
  </r>
  <r>
    <n v="-2"/>
    <x v="1"/>
    <x v="4"/>
    <x v="7"/>
  </r>
  <r>
    <n v="-84.05"/>
    <x v="1"/>
    <x v="0"/>
    <x v="7"/>
  </r>
  <r>
    <n v="-39"/>
    <x v="1"/>
    <x v="5"/>
    <x v="7"/>
  </r>
  <r>
    <n v="-100"/>
    <x v="1"/>
    <x v="0"/>
    <x v="7"/>
  </r>
  <r>
    <n v="-338.74"/>
    <x v="1"/>
    <x v="0"/>
    <x v="7"/>
  </r>
  <r>
    <n v="-40.94"/>
    <x v="1"/>
    <x v="0"/>
    <x v="7"/>
  </r>
  <r>
    <n v="-2.59"/>
    <x v="1"/>
    <x v="1"/>
    <x v="7"/>
  </r>
  <r>
    <n v="-14.95"/>
    <x v="1"/>
    <x v="5"/>
    <x v="7"/>
  </r>
  <r>
    <n v="-8.2799999999999994"/>
    <x v="1"/>
    <x v="3"/>
    <x v="7"/>
  </r>
  <r>
    <n v="-37.630000000000003"/>
    <x v="1"/>
    <x v="0"/>
    <x v="7"/>
  </r>
  <r>
    <n v="-1511.31"/>
    <x v="1"/>
    <x v="0"/>
    <x v="7"/>
  </r>
  <r>
    <n v="-3.15"/>
    <x v="1"/>
    <x v="4"/>
    <x v="7"/>
  </r>
  <r>
    <n v="-7.51"/>
    <x v="1"/>
    <x v="3"/>
    <x v="7"/>
  </r>
  <r>
    <n v="-31"/>
    <x v="1"/>
    <x v="4"/>
    <x v="7"/>
  </r>
  <r>
    <n v="-3.15"/>
    <x v="1"/>
    <x v="4"/>
    <x v="7"/>
  </r>
  <r>
    <n v="-2.99"/>
    <x v="1"/>
    <x v="2"/>
    <x v="7"/>
  </r>
  <r>
    <n v="-4.3600000000000003"/>
    <x v="1"/>
    <x v="1"/>
    <x v="7"/>
  </r>
  <r>
    <n v="-7.51"/>
    <x v="1"/>
    <x v="3"/>
    <x v="7"/>
  </r>
  <r>
    <n v="-9.99"/>
    <x v="1"/>
    <x v="8"/>
    <x v="7"/>
  </r>
  <r>
    <n v="-4.88"/>
    <x v="1"/>
    <x v="15"/>
    <x v="7"/>
  </r>
  <r>
    <n v="-34.65"/>
    <x v="1"/>
    <x v="4"/>
    <x v="7"/>
  </r>
  <r>
    <n v="809.76"/>
    <x v="1"/>
    <x v="6"/>
    <x v="7"/>
  </r>
  <r>
    <n v="-9.69"/>
    <x v="1"/>
    <x v="3"/>
    <x v="7"/>
  </r>
  <r>
    <n v="-336.39"/>
    <x v="1"/>
    <x v="7"/>
    <x v="7"/>
  </r>
  <r>
    <n v="-7.7"/>
    <x v="1"/>
    <x v="4"/>
    <x v="7"/>
  </r>
  <r>
    <n v="-156"/>
    <x v="1"/>
    <x v="0"/>
    <x v="7"/>
  </r>
  <r>
    <n v="-34"/>
    <x v="1"/>
    <x v="4"/>
    <x v="7"/>
  </r>
  <r>
    <n v="-29.97"/>
    <x v="1"/>
    <x v="2"/>
    <x v="7"/>
  </r>
  <r>
    <n v="-6.09"/>
    <x v="1"/>
    <x v="1"/>
    <x v="7"/>
  </r>
  <r>
    <n v="-24.99"/>
    <x v="1"/>
    <x v="2"/>
    <x v="7"/>
  </r>
  <r>
    <n v="-6.33"/>
    <x v="1"/>
    <x v="3"/>
    <x v="7"/>
  </r>
  <r>
    <n v="-17.98"/>
    <x v="1"/>
    <x v="12"/>
    <x v="7"/>
  </r>
  <r>
    <n v="-43.85"/>
    <x v="1"/>
    <x v="12"/>
    <x v="7"/>
  </r>
  <r>
    <n v="-2.59"/>
    <x v="1"/>
    <x v="1"/>
    <x v="7"/>
  </r>
  <r>
    <n v="-12.49"/>
    <x v="1"/>
    <x v="8"/>
    <x v="7"/>
  </r>
  <r>
    <n v="247.32"/>
    <x v="1"/>
    <x v="16"/>
    <x v="7"/>
  </r>
  <r>
    <n v="-2.59"/>
    <x v="1"/>
    <x v="1"/>
    <x v="7"/>
  </r>
  <r>
    <n v="-7.3"/>
    <x v="1"/>
    <x v="3"/>
    <x v="7"/>
  </r>
  <r>
    <n v="-7.85"/>
    <x v="1"/>
    <x v="12"/>
    <x v="7"/>
  </r>
  <r>
    <n v="-13.28"/>
    <x v="1"/>
    <x v="3"/>
    <x v="7"/>
  </r>
  <r>
    <n v="-35.909999999999997"/>
    <x v="1"/>
    <x v="4"/>
    <x v="7"/>
  </r>
  <r>
    <n v="-123.39"/>
    <x v="1"/>
    <x v="9"/>
    <x v="7"/>
  </r>
  <r>
    <n v="-256.31"/>
    <x v="1"/>
    <x v="12"/>
    <x v="7"/>
  </r>
  <r>
    <n v="-200"/>
    <x v="1"/>
    <x v="5"/>
    <x v="7"/>
  </r>
  <r>
    <n v="-84.03"/>
    <x v="1"/>
    <x v="0"/>
    <x v="8"/>
  </r>
  <r>
    <n v="-204.54"/>
    <x v="1"/>
    <x v="9"/>
    <x v="8"/>
  </r>
  <r>
    <n v="-37"/>
    <x v="1"/>
    <x v="11"/>
    <x v="8"/>
  </r>
  <r>
    <n v="-3"/>
    <x v="1"/>
    <x v="0"/>
    <x v="8"/>
  </r>
  <r>
    <n v="-3.28"/>
    <x v="1"/>
    <x v="3"/>
    <x v="8"/>
  </r>
  <r>
    <n v="-100"/>
    <x v="1"/>
    <x v="0"/>
    <x v="8"/>
  </r>
  <r>
    <n v="-14.95"/>
    <x v="1"/>
    <x v="5"/>
    <x v="8"/>
  </r>
  <r>
    <n v="-11.99"/>
    <x v="1"/>
    <x v="12"/>
    <x v="8"/>
  </r>
  <r>
    <n v="-31.56"/>
    <x v="1"/>
    <x v="1"/>
    <x v="8"/>
  </r>
  <r>
    <n v="-47.75"/>
    <x v="1"/>
    <x v="0"/>
    <x v="8"/>
  </r>
  <r>
    <n v="-58.68"/>
    <x v="1"/>
    <x v="12"/>
    <x v="8"/>
  </r>
  <r>
    <n v="-5.44"/>
    <x v="1"/>
    <x v="3"/>
    <x v="8"/>
  </r>
  <r>
    <n v="-7.85"/>
    <x v="1"/>
    <x v="12"/>
    <x v="8"/>
  </r>
  <r>
    <n v="-9.39"/>
    <x v="1"/>
    <x v="12"/>
    <x v="8"/>
  </r>
  <r>
    <n v="-13.99"/>
    <x v="1"/>
    <x v="12"/>
    <x v="8"/>
  </r>
  <r>
    <n v="-20"/>
    <x v="1"/>
    <x v="0"/>
    <x v="8"/>
  </r>
  <r>
    <n v="-51.8"/>
    <x v="1"/>
    <x v="12"/>
    <x v="8"/>
  </r>
  <r>
    <n v="-1.5"/>
    <x v="1"/>
    <x v="10"/>
    <x v="8"/>
  </r>
  <r>
    <n v="-2.6"/>
    <x v="1"/>
    <x v="0"/>
    <x v="8"/>
  </r>
  <r>
    <n v="-2.13"/>
    <x v="1"/>
    <x v="0"/>
    <x v="8"/>
  </r>
  <r>
    <n v="-5.01"/>
    <x v="1"/>
    <x v="3"/>
    <x v="8"/>
  </r>
  <r>
    <n v="-51.61"/>
    <x v="1"/>
    <x v="0"/>
    <x v="8"/>
  </r>
  <r>
    <n v="-5.44"/>
    <x v="1"/>
    <x v="3"/>
    <x v="8"/>
  </r>
  <r>
    <n v="-38.479999999999997"/>
    <x v="1"/>
    <x v="0"/>
    <x v="8"/>
  </r>
  <r>
    <n v="-215.99"/>
    <x v="1"/>
    <x v="12"/>
    <x v="8"/>
  </r>
  <r>
    <n v="-17.32"/>
    <x v="1"/>
    <x v="12"/>
    <x v="8"/>
  </r>
  <r>
    <n v="-35.979999999999997"/>
    <x v="1"/>
    <x v="0"/>
    <x v="8"/>
  </r>
  <r>
    <n v="875.56"/>
    <x v="1"/>
    <x v="6"/>
    <x v="8"/>
  </r>
  <r>
    <n v="-100"/>
    <x v="1"/>
    <x v="5"/>
    <x v="8"/>
  </r>
  <r>
    <n v="-336.39"/>
    <x v="1"/>
    <x v="7"/>
    <x v="8"/>
  </r>
  <r>
    <n v="-14.99"/>
    <x v="1"/>
    <x v="12"/>
    <x v="8"/>
  </r>
  <r>
    <n v="-15.27"/>
    <x v="1"/>
    <x v="0"/>
    <x v="8"/>
  </r>
  <r>
    <n v="-34.520000000000003"/>
    <x v="1"/>
    <x v="0"/>
    <x v="8"/>
  </r>
  <r>
    <n v="-8"/>
    <x v="1"/>
    <x v="4"/>
    <x v="8"/>
  </r>
  <r>
    <n v="-4.74"/>
    <x v="1"/>
    <x v="3"/>
    <x v="8"/>
  </r>
  <r>
    <n v="-6.54"/>
    <x v="1"/>
    <x v="3"/>
    <x v="8"/>
  </r>
  <r>
    <n v="-8.7200000000000006"/>
    <x v="1"/>
    <x v="3"/>
    <x v="8"/>
  </r>
  <r>
    <n v="-11.99"/>
    <x v="1"/>
    <x v="8"/>
    <x v="8"/>
  </r>
  <r>
    <n v="-20"/>
    <x v="1"/>
    <x v="0"/>
    <x v="8"/>
  </r>
  <r>
    <n v="-35.5"/>
    <x v="1"/>
    <x v="0"/>
    <x v="8"/>
  </r>
  <r>
    <n v="-162.36000000000001"/>
    <x v="1"/>
    <x v="15"/>
    <x v="8"/>
  </r>
  <r>
    <n v="-6.54"/>
    <x v="1"/>
    <x v="3"/>
    <x v="8"/>
  </r>
  <r>
    <n v="-16.989999999999998"/>
    <x v="1"/>
    <x v="12"/>
    <x v="8"/>
  </r>
  <r>
    <n v="-4.1100000000000003"/>
    <x v="1"/>
    <x v="4"/>
    <x v="8"/>
  </r>
  <r>
    <n v="-35.799999999999997"/>
    <x v="1"/>
    <x v="4"/>
    <x v="8"/>
  </r>
  <r>
    <n v="-40"/>
    <x v="1"/>
    <x v="0"/>
    <x v="8"/>
  </r>
  <r>
    <n v="-44.11"/>
    <x v="1"/>
    <x v="12"/>
    <x v="8"/>
  </r>
  <r>
    <n v="-204.54"/>
    <x v="1"/>
    <x v="9"/>
    <x v="8"/>
  </r>
  <r>
    <n v="886.55"/>
    <x v="1"/>
    <x v="6"/>
    <x v="8"/>
  </r>
  <r>
    <n v="0.01"/>
    <x v="1"/>
    <x v="6"/>
    <x v="9"/>
  </r>
  <r>
    <n v="-239.15"/>
    <x v="1"/>
    <x v="0"/>
    <x v="9"/>
  </r>
  <r>
    <n v="-35"/>
    <x v="1"/>
    <x v="0"/>
    <x v="9"/>
  </r>
  <r>
    <n v="-385.68"/>
    <x v="1"/>
    <x v="5"/>
    <x v="9"/>
  </r>
  <r>
    <n v="-14.95"/>
    <x v="1"/>
    <x v="5"/>
    <x v="9"/>
  </r>
  <r>
    <n v="956.36"/>
    <x v="1"/>
    <x v="6"/>
    <x v="9"/>
  </r>
  <r>
    <n v="-336.39"/>
    <x v="1"/>
    <x v="7"/>
    <x v="9"/>
  </r>
  <r>
    <n v="-871.25"/>
    <x v="1"/>
    <x v="5"/>
    <x v="9"/>
  </r>
  <r>
    <n v="-9.82"/>
    <x v="1"/>
    <x v="0"/>
    <x v="10"/>
  </r>
  <r>
    <n v="0.01"/>
    <x v="1"/>
    <x v="6"/>
    <x v="10"/>
  </r>
  <r>
    <n v="-14.95"/>
    <x v="1"/>
    <x v="5"/>
    <x v="10"/>
  </r>
  <r>
    <n v="-403.94"/>
    <x v="1"/>
    <x v="5"/>
    <x v="10"/>
  </r>
  <r>
    <n v="-237.21"/>
    <x v="1"/>
    <x v="0"/>
    <x v="10"/>
  </r>
  <r>
    <n v="-20"/>
    <x v="1"/>
    <x v="0"/>
    <x v="10"/>
  </r>
  <r>
    <n v="-1.5"/>
    <x v="1"/>
    <x v="10"/>
    <x v="10"/>
  </r>
  <r>
    <n v="-4"/>
    <x v="1"/>
    <x v="0"/>
    <x v="10"/>
  </r>
  <r>
    <n v="886.94"/>
    <x v="1"/>
    <x v="6"/>
    <x v="10"/>
  </r>
  <r>
    <n v="-336.39"/>
    <x v="1"/>
    <x v="7"/>
    <x v="10"/>
  </r>
  <r>
    <n v="-312.89"/>
    <x v="1"/>
    <x v="5"/>
    <x v="10"/>
  </r>
  <r>
    <n v="893.32"/>
    <x v="1"/>
    <x v="6"/>
    <x v="10"/>
  </r>
  <r>
    <n v="-204.53"/>
    <x v="1"/>
    <x v="9"/>
    <x v="10"/>
  </r>
  <r>
    <n v="814.77"/>
    <x v="1"/>
    <x v="6"/>
    <x v="11"/>
  </r>
  <r>
    <n v="-336.39"/>
    <x v="1"/>
    <x v="7"/>
    <x v="11"/>
  </r>
  <r>
    <n v="-2.17"/>
    <x v="1"/>
    <x v="3"/>
    <x v="11"/>
  </r>
  <r>
    <n v="-3.69"/>
    <x v="1"/>
    <x v="3"/>
    <x v="11"/>
  </r>
  <r>
    <n v="-7.99"/>
    <x v="1"/>
    <x v="2"/>
    <x v="11"/>
  </r>
  <r>
    <n v="-3.26"/>
    <x v="1"/>
    <x v="0"/>
    <x v="11"/>
  </r>
  <r>
    <n v="-3.36"/>
    <x v="1"/>
    <x v="3"/>
    <x v="11"/>
  </r>
  <r>
    <n v="-43.62"/>
    <x v="1"/>
    <x v="4"/>
    <x v="11"/>
  </r>
  <r>
    <n v="-34.770000000000003"/>
    <x v="1"/>
    <x v="0"/>
    <x v="11"/>
  </r>
  <r>
    <n v="-109.73"/>
    <x v="1"/>
    <x v="0"/>
    <x v="11"/>
  </r>
  <r>
    <n v="-95.04"/>
    <x v="1"/>
    <x v="12"/>
    <x v="11"/>
  </r>
  <r>
    <n v="-6.1"/>
    <x v="1"/>
    <x v="3"/>
    <x v="11"/>
  </r>
  <r>
    <n v="-3.69"/>
    <x v="1"/>
    <x v="3"/>
    <x v="11"/>
  </r>
  <r>
    <n v="-33.21"/>
    <x v="1"/>
    <x v="15"/>
    <x v="11"/>
  </r>
  <r>
    <n v="-119"/>
    <x v="1"/>
    <x v="12"/>
    <x v="11"/>
  </r>
  <r>
    <n v="-2.5099999999999998"/>
    <x v="1"/>
    <x v="3"/>
    <x v="11"/>
  </r>
  <r>
    <n v="-41.43"/>
    <x v="1"/>
    <x v="4"/>
    <x v="11"/>
  </r>
  <r>
    <n v="-70.3"/>
    <x v="1"/>
    <x v="1"/>
    <x v="11"/>
  </r>
  <r>
    <n v="-89.9"/>
    <x v="1"/>
    <x v="0"/>
    <x v="11"/>
  </r>
  <r>
    <n v="-9.99"/>
    <x v="1"/>
    <x v="2"/>
    <x v="11"/>
  </r>
  <r>
    <n v="-6.63"/>
    <x v="1"/>
    <x v="3"/>
    <x v="11"/>
  </r>
  <r>
    <n v="-27.26"/>
    <x v="1"/>
    <x v="0"/>
    <x v="11"/>
  </r>
  <r>
    <n v="-6.85"/>
    <x v="1"/>
    <x v="3"/>
    <x v="11"/>
  </r>
  <r>
    <n v="-39.18"/>
    <x v="1"/>
    <x v="4"/>
    <x v="11"/>
  </r>
  <r>
    <n v="-21.3"/>
    <x v="1"/>
    <x v="3"/>
    <x v="11"/>
  </r>
  <r>
    <n v="-5.08"/>
    <x v="1"/>
    <x v="3"/>
    <x v="11"/>
  </r>
  <r>
    <n v="-7.83"/>
    <x v="1"/>
    <x v="3"/>
    <x v="11"/>
  </r>
  <r>
    <n v="-16"/>
    <x v="1"/>
    <x v="0"/>
    <x v="11"/>
  </r>
  <r>
    <n v="-3.26"/>
    <x v="1"/>
    <x v="1"/>
    <x v="11"/>
  </r>
  <r>
    <n v="-9.99"/>
    <x v="1"/>
    <x v="0"/>
    <x v="11"/>
  </r>
  <r>
    <n v="-8.17"/>
    <x v="1"/>
    <x v="3"/>
    <x v="11"/>
  </r>
  <r>
    <n v="-3.69"/>
    <x v="1"/>
    <x v="3"/>
    <x v="11"/>
  </r>
  <r>
    <n v="-38.44"/>
    <x v="1"/>
    <x v="4"/>
    <x v="1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m/>
    <m/>
    <x v="0"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m/>
    <m/>
    <x v="0"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m/>
    <m/>
    <x v="0"/>
    <m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m/>
    <m/>
    <x v="0"/>
    <m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m/>
    <m/>
    <x v="0"/>
    <m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m/>
    <m/>
    <x v="0"/>
    <m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m/>
    <m/>
    <x v="0"/>
    <m/>
  </r>
</pivotCacheRecords>
</file>

<file path=xl/pivotCache/pivotCacheRecords9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m/>
    <m/>
    <x v="0"/>
    <m/>
  </r>
</pivotCacheRecords>
</file>

<file path=xl/pivotCache/pivotCacheRecords10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m/>
    <m/>
    <x v="0"/>
    <m/>
  </r>
</pivotCacheRecords>
</file>

<file path=xl/pivotCache/pivotCacheRecords1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m/>
    <m/>
    <x v="0"/>
    <m/>
  </r>
</pivotCacheRecords>
</file>

<file path=xl/pivotCache/pivotCacheRecords1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m/>
    <m/>
    <x v="0"/>
    <m/>
  </r>
</pivotCacheRecords>
</file>

<file path=xl/pivotCache/pivotCacheRecords1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m/>
    <m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69A95FB-D8CF-41AE-9F65-C7EA5533F5E5}" name="PivotTable4" cacheId="0" applyNumberFormats="0" applyBorderFormats="0" applyFontFormats="0" applyPatternFormats="0" applyAlignmentFormats="0" applyWidthHeightFormats="1" dataCaption="Values" grandTotalCaption="Total" updatedVersion="6" minRefreshableVersion="3" useAutoFormatting="1" itemPrintTitles="1" createdVersion="6" indent="0" outline="1" outlineData="1" multipleFieldFilters="0" chartFormat="2" rowHeaderCaption="Category">
  <location ref="A1:N20" firstHeaderRow="1" firstDataRow="2" firstDataCol="1"/>
  <pivotFields count="4">
    <pivotField dataField="1" showAll="0"/>
    <pivotField showAll="0"/>
    <pivotField axis="axisRow" showAll="0">
      <items count="19">
        <item x="12"/>
        <item x="10"/>
        <item x="9"/>
        <item x="15"/>
        <item x="7"/>
        <item x="5"/>
        <item x="8"/>
        <item x="2"/>
        <item x="3"/>
        <item x="4"/>
        <item m="1" x="17"/>
        <item x="6"/>
        <item x="14"/>
        <item x="11"/>
        <item x="13"/>
        <item x="0"/>
        <item x="16"/>
        <item x="1"/>
        <item t="default"/>
      </items>
    </pivotField>
    <pivotField axis="axisCol" showAll="0">
      <items count="13">
        <item x="4"/>
        <item x="3"/>
        <item x="7"/>
        <item x="0"/>
        <item x="8"/>
        <item x="6"/>
        <item x="5"/>
        <item x="1"/>
        <item x="11"/>
        <item x="10"/>
        <item x="9"/>
        <item x="2"/>
        <item t="default"/>
      </items>
    </pivotField>
  </pivotFields>
  <rowFields count="1">
    <field x="2"/>
  </rowFields>
  <rowItems count="1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1"/>
    </i>
    <i>
      <x v="12"/>
    </i>
    <i>
      <x v="13"/>
    </i>
    <i>
      <x v="14"/>
    </i>
    <i>
      <x v="15"/>
    </i>
    <i>
      <x v="16"/>
    </i>
    <i>
      <x v="17"/>
    </i>
    <i t="grand">
      <x/>
    </i>
  </rowItems>
  <colFields count="1">
    <field x="3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dataFields count="1">
    <dataField name="Yearly Overview" fld="0" baseField="2" baseItem="0" numFmtId="164"/>
  </dataFields>
  <formats count="14">
    <format dxfId="133">
      <pivotArea field="2" type="button" dataOnly="0" labelOnly="1" outline="0" axis="axisRow" fieldPosition="0"/>
    </format>
    <format dxfId="132">
      <pivotArea dataOnly="0" labelOnly="1" fieldPosition="0">
        <references count="1">
          <reference field="3" count="0"/>
        </references>
      </pivotArea>
    </format>
    <format dxfId="131">
      <pivotArea dataOnly="0" labelOnly="1" grandCol="1" outline="0" fieldPosition="0"/>
    </format>
    <format dxfId="130">
      <pivotArea field="2" type="button" dataOnly="0" labelOnly="1" outline="0" axis="axisRow" fieldPosition="0"/>
    </format>
    <format dxfId="129">
      <pivotArea dataOnly="0" labelOnly="1" fieldPosition="0">
        <references count="1">
          <reference field="3" count="0"/>
        </references>
      </pivotArea>
    </format>
    <format dxfId="128">
      <pivotArea dataOnly="0" labelOnly="1" grandCol="1" outline="0" fieldPosition="0"/>
    </format>
    <format dxfId="127">
      <pivotArea outline="0" collapsedLevelsAreSubtotals="1" fieldPosition="0"/>
    </format>
    <format dxfId="126">
      <pivotArea outline="0" collapsedLevelsAreSubtotals="1" fieldPosition="0"/>
    </format>
    <format dxfId="125">
      <pivotArea field="2" type="button" dataOnly="0" labelOnly="1" outline="0" axis="axisRow" fieldPosition="0"/>
    </format>
    <format dxfId="124">
      <pivotArea dataOnly="0" labelOnly="1" fieldPosition="0">
        <references count="1">
          <reference field="2" count="0"/>
        </references>
      </pivotArea>
    </format>
    <format dxfId="123">
      <pivotArea dataOnly="0" labelOnly="1" grandRow="1" outline="0" fieldPosition="0"/>
    </format>
    <format dxfId="122">
      <pivotArea dataOnly="0" labelOnly="1" fieldPosition="0">
        <references count="1">
          <reference field="3" count="0"/>
        </references>
      </pivotArea>
    </format>
    <format dxfId="121">
      <pivotArea dataOnly="0" labelOnly="1" grandCol="1" outline="0" fieldPosition="0"/>
    </format>
    <format dxfId="120">
      <pivotArea grandCol="1" outline="0" collapsedLevelsAreSubtotals="1" fieldPosition="0"/>
    </format>
  </formats>
  <conditionalFormats count="2">
    <conditionalFormat priority="2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priority="1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chartFormats count="228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3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4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5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6"/>
          </reference>
        </references>
      </pivotArea>
    </chartFormat>
    <chartFormat chart="1" format="7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7"/>
          </reference>
        </references>
      </pivotArea>
    </chartFormat>
    <chartFormat chart="1" format="8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8"/>
          </reference>
        </references>
      </pivotArea>
    </chartFormat>
    <chartFormat chart="1" format="9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9"/>
          </reference>
        </references>
      </pivotArea>
    </chartFormat>
    <chartFormat chart="1" format="10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0"/>
          </reference>
        </references>
      </pivotArea>
    </chartFormat>
    <chartFormat chart="1" format="11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1"/>
          </reference>
        </references>
      </pivotArea>
    </chartFormat>
    <chartFormat chart="1" format="12">
      <pivotArea type="data" outline="0" fieldPosition="0">
        <references count="3">
          <reference field="4294967294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1" format="13">
      <pivotArea type="data" outline="0" fieldPosition="0">
        <references count="3">
          <reference field="4294967294" count="1" selected="0">
            <x v="0"/>
          </reference>
          <reference field="2" count="1" selected="0">
            <x v="1"/>
          </reference>
          <reference field="3" count="1" selected="0">
            <x v="0"/>
          </reference>
        </references>
      </pivotArea>
    </chartFormat>
    <chartFormat chart="1" format="14">
      <pivotArea type="data" outline="0" fieldPosition="0">
        <references count="3">
          <reference field="4294967294" count="1" selected="0">
            <x v="0"/>
          </reference>
          <reference field="2" count="1" selected="0">
            <x v="2"/>
          </reference>
          <reference field="3" count="1" selected="0">
            <x v="0"/>
          </reference>
        </references>
      </pivotArea>
    </chartFormat>
    <chartFormat chart="1" format="15">
      <pivotArea type="data" outline="0" fieldPosition="0">
        <references count="3">
          <reference field="4294967294" count="1" selected="0">
            <x v="0"/>
          </reference>
          <reference field="2" count="1" selected="0">
            <x v="3"/>
          </reference>
          <reference field="3" count="1" selected="0">
            <x v="0"/>
          </reference>
        </references>
      </pivotArea>
    </chartFormat>
    <chartFormat chart="1" format="16">
      <pivotArea type="data" outline="0" fieldPosition="0">
        <references count="3">
          <reference field="4294967294" count="1" selected="0">
            <x v="0"/>
          </reference>
          <reference field="2" count="1" selected="0">
            <x v="4"/>
          </reference>
          <reference field="3" count="1" selected="0">
            <x v="0"/>
          </reference>
        </references>
      </pivotArea>
    </chartFormat>
    <chartFormat chart="1" format="17">
      <pivotArea type="data" outline="0" fieldPosition="0">
        <references count="3">
          <reference field="4294967294" count="1" selected="0">
            <x v="0"/>
          </reference>
          <reference field="2" count="1" selected="0">
            <x v="5"/>
          </reference>
          <reference field="3" count="1" selected="0">
            <x v="0"/>
          </reference>
        </references>
      </pivotArea>
    </chartFormat>
    <chartFormat chart="1" format="18">
      <pivotArea type="data" outline="0" fieldPosition="0">
        <references count="3">
          <reference field="4294967294" count="1" selected="0">
            <x v="0"/>
          </reference>
          <reference field="2" count="1" selected="0">
            <x v="6"/>
          </reference>
          <reference field="3" count="1" selected="0">
            <x v="0"/>
          </reference>
        </references>
      </pivotArea>
    </chartFormat>
    <chartFormat chart="1" format="19">
      <pivotArea type="data" outline="0" fieldPosition="0">
        <references count="3">
          <reference field="4294967294" count="1" selected="0">
            <x v="0"/>
          </reference>
          <reference field="2" count="1" selected="0">
            <x v="7"/>
          </reference>
          <reference field="3" count="1" selected="0">
            <x v="0"/>
          </reference>
        </references>
      </pivotArea>
    </chartFormat>
    <chartFormat chart="1" format="20">
      <pivotArea type="data" outline="0" fieldPosition="0">
        <references count="3">
          <reference field="4294967294" count="1" selected="0">
            <x v="0"/>
          </reference>
          <reference field="2" count="1" selected="0">
            <x v="8"/>
          </reference>
          <reference field="3" count="1" selected="0">
            <x v="0"/>
          </reference>
        </references>
      </pivotArea>
    </chartFormat>
    <chartFormat chart="1" format="21">
      <pivotArea type="data" outline="0" fieldPosition="0">
        <references count="3">
          <reference field="4294967294" count="1" selected="0">
            <x v="0"/>
          </reference>
          <reference field="2" count="1" selected="0">
            <x v="9"/>
          </reference>
          <reference field="3" count="1" selected="0">
            <x v="0"/>
          </reference>
        </references>
      </pivotArea>
    </chartFormat>
    <chartFormat chart="1" format="22">
      <pivotArea type="data" outline="0" fieldPosition="0">
        <references count="3">
          <reference field="4294967294" count="1" selected="0">
            <x v="0"/>
          </reference>
          <reference field="2" count="1" selected="0">
            <x v="10"/>
          </reference>
          <reference field="3" count="1" selected="0">
            <x v="0"/>
          </reference>
        </references>
      </pivotArea>
    </chartFormat>
    <chartFormat chart="1" format="23">
      <pivotArea type="data" outline="0" fieldPosition="0">
        <references count="3">
          <reference field="4294967294" count="1" selected="0">
            <x v="0"/>
          </reference>
          <reference field="2" count="1" selected="0">
            <x v="11"/>
          </reference>
          <reference field="3" count="1" selected="0">
            <x v="0"/>
          </reference>
        </references>
      </pivotArea>
    </chartFormat>
    <chartFormat chart="1" format="24">
      <pivotArea type="data" outline="0" fieldPosition="0">
        <references count="3">
          <reference field="4294967294" count="1" selected="0">
            <x v="0"/>
          </reference>
          <reference field="2" count="1" selected="0">
            <x v="12"/>
          </reference>
          <reference field="3" count="1" selected="0">
            <x v="0"/>
          </reference>
        </references>
      </pivotArea>
    </chartFormat>
    <chartFormat chart="1" format="25">
      <pivotArea type="data" outline="0" fieldPosition="0">
        <references count="3">
          <reference field="4294967294" count="1" selected="0">
            <x v="0"/>
          </reference>
          <reference field="2" count="1" selected="0">
            <x v="13"/>
          </reference>
          <reference field="3" count="1" selected="0">
            <x v="0"/>
          </reference>
        </references>
      </pivotArea>
    </chartFormat>
    <chartFormat chart="1" format="26">
      <pivotArea type="data" outline="0" fieldPosition="0">
        <references count="3">
          <reference field="4294967294" count="1" selected="0">
            <x v="0"/>
          </reference>
          <reference field="2" count="1" selected="0">
            <x v="14"/>
          </reference>
          <reference field="3" count="1" selected="0">
            <x v="0"/>
          </reference>
        </references>
      </pivotArea>
    </chartFormat>
    <chartFormat chart="1" format="27">
      <pivotArea type="data" outline="0" fieldPosition="0">
        <references count="3">
          <reference field="4294967294" count="1" selected="0">
            <x v="0"/>
          </reference>
          <reference field="2" count="1" selected="0">
            <x v="15"/>
          </reference>
          <reference field="3" count="1" selected="0">
            <x v="0"/>
          </reference>
        </references>
      </pivotArea>
    </chartFormat>
    <chartFormat chart="1" format="28">
      <pivotArea type="data" outline="0" fieldPosition="0">
        <references count="3">
          <reference field="4294967294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1" format="29">
      <pivotArea type="data" outline="0" fieldPosition="0">
        <references count="3">
          <reference field="4294967294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1" format="30">
      <pivotArea type="data" outline="0" fieldPosition="0">
        <references count="3">
          <reference field="4294967294" count="1" selected="0">
            <x v="0"/>
          </reference>
          <reference field="2" count="1" selected="0">
            <x v="2"/>
          </reference>
          <reference field="3" count="1" selected="0">
            <x v="1"/>
          </reference>
        </references>
      </pivotArea>
    </chartFormat>
    <chartFormat chart="1" format="31">
      <pivotArea type="data" outline="0" fieldPosition="0">
        <references count="3">
          <reference field="4294967294" count="1" selected="0">
            <x v="0"/>
          </reference>
          <reference field="2" count="1" selected="0">
            <x v="3"/>
          </reference>
          <reference field="3" count="1" selected="0">
            <x v="1"/>
          </reference>
        </references>
      </pivotArea>
    </chartFormat>
    <chartFormat chart="1" format="32">
      <pivotArea type="data" outline="0" fieldPosition="0">
        <references count="3">
          <reference field="4294967294" count="1" selected="0">
            <x v="0"/>
          </reference>
          <reference field="2" count="1" selected="0">
            <x v="4"/>
          </reference>
          <reference field="3" count="1" selected="0">
            <x v="1"/>
          </reference>
        </references>
      </pivotArea>
    </chartFormat>
    <chartFormat chart="1" format="33">
      <pivotArea type="data" outline="0" fieldPosition="0">
        <references count="3">
          <reference field="4294967294" count="1" selected="0">
            <x v="0"/>
          </reference>
          <reference field="2" count="1" selected="0">
            <x v="5"/>
          </reference>
          <reference field="3" count="1" selected="0">
            <x v="1"/>
          </reference>
        </references>
      </pivotArea>
    </chartFormat>
    <chartFormat chart="1" format="34">
      <pivotArea type="data" outline="0" fieldPosition="0">
        <references count="3">
          <reference field="4294967294" count="1" selected="0">
            <x v="0"/>
          </reference>
          <reference field="2" count="1" selected="0">
            <x v="6"/>
          </reference>
          <reference field="3" count="1" selected="0">
            <x v="1"/>
          </reference>
        </references>
      </pivotArea>
    </chartFormat>
    <chartFormat chart="1" format="35">
      <pivotArea type="data" outline="0" fieldPosition="0">
        <references count="3">
          <reference field="4294967294" count="1" selected="0">
            <x v="0"/>
          </reference>
          <reference field="2" count="1" selected="0">
            <x v="7"/>
          </reference>
          <reference field="3" count="1" selected="0">
            <x v="1"/>
          </reference>
        </references>
      </pivotArea>
    </chartFormat>
    <chartFormat chart="1" format="36">
      <pivotArea type="data" outline="0" fieldPosition="0">
        <references count="3">
          <reference field="4294967294" count="1" selected="0">
            <x v="0"/>
          </reference>
          <reference field="2" count="1" selected="0">
            <x v="8"/>
          </reference>
          <reference field="3" count="1" selected="0">
            <x v="1"/>
          </reference>
        </references>
      </pivotArea>
    </chartFormat>
    <chartFormat chart="1" format="37">
      <pivotArea type="data" outline="0" fieldPosition="0">
        <references count="3">
          <reference field="4294967294" count="1" selected="0">
            <x v="0"/>
          </reference>
          <reference field="2" count="1" selected="0">
            <x v="9"/>
          </reference>
          <reference field="3" count="1" selected="0">
            <x v="1"/>
          </reference>
        </references>
      </pivotArea>
    </chartFormat>
    <chartFormat chart="1" format="38">
      <pivotArea type="data" outline="0" fieldPosition="0">
        <references count="3">
          <reference field="4294967294" count="1" selected="0">
            <x v="0"/>
          </reference>
          <reference field="2" count="1" selected="0">
            <x v="10"/>
          </reference>
          <reference field="3" count="1" selected="0">
            <x v="1"/>
          </reference>
        </references>
      </pivotArea>
    </chartFormat>
    <chartFormat chart="1" format="39">
      <pivotArea type="data" outline="0" fieldPosition="0">
        <references count="3">
          <reference field="4294967294" count="1" selected="0">
            <x v="0"/>
          </reference>
          <reference field="2" count="1" selected="0">
            <x v="11"/>
          </reference>
          <reference field="3" count="1" selected="0">
            <x v="1"/>
          </reference>
        </references>
      </pivotArea>
    </chartFormat>
    <chartFormat chart="1" format="40">
      <pivotArea type="data" outline="0" fieldPosition="0">
        <references count="3">
          <reference field="4294967294" count="1" selected="0">
            <x v="0"/>
          </reference>
          <reference field="2" count="1" selected="0">
            <x v="12"/>
          </reference>
          <reference field="3" count="1" selected="0">
            <x v="1"/>
          </reference>
        </references>
      </pivotArea>
    </chartFormat>
    <chartFormat chart="1" format="41">
      <pivotArea type="data" outline="0" fieldPosition="0">
        <references count="3">
          <reference field="4294967294" count="1" selected="0">
            <x v="0"/>
          </reference>
          <reference field="2" count="1" selected="0">
            <x v="13"/>
          </reference>
          <reference field="3" count="1" selected="0">
            <x v="1"/>
          </reference>
        </references>
      </pivotArea>
    </chartFormat>
    <chartFormat chart="1" format="42">
      <pivotArea type="data" outline="0" fieldPosition="0">
        <references count="3">
          <reference field="4294967294" count="1" selected="0">
            <x v="0"/>
          </reference>
          <reference field="2" count="1" selected="0">
            <x v="14"/>
          </reference>
          <reference field="3" count="1" selected="0">
            <x v="1"/>
          </reference>
        </references>
      </pivotArea>
    </chartFormat>
    <chartFormat chart="1" format="43">
      <pivotArea type="data" outline="0" fieldPosition="0">
        <references count="3">
          <reference field="4294967294" count="1" selected="0">
            <x v="0"/>
          </reference>
          <reference field="2" count="1" selected="0">
            <x v="15"/>
          </reference>
          <reference field="3" count="1" selected="0">
            <x v="1"/>
          </reference>
        </references>
      </pivotArea>
    </chartFormat>
    <chartFormat chart="1" format="44">
      <pivotArea type="data" outline="0" fieldPosition="0">
        <references count="3">
          <reference field="4294967294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</references>
      </pivotArea>
    </chartFormat>
    <chartFormat chart="1" format="45">
      <pivotArea type="data" outline="0" fieldPosition="0">
        <references count="3">
          <reference field="4294967294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1" format="46">
      <pivotArea type="data" outline="0" fieldPosition="0">
        <references count="3">
          <reference field="4294967294" count="1" selected="0">
            <x v="0"/>
          </reference>
          <reference field="2" count="1" selected="0">
            <x v="2"/>
          </reference>
          <reference field="3" count="1" selected="0">
            <x v="2"/>
          </reference>
        </references>
      </pivotArea>
    </chartFormat>
    <chartFormat chart="1" format="47">
      <pivotArea type="data" outline="0" fieldPosition="0">
        <references count="3">
          <reference field="4294967294" count="1" selected="0">
            <x v="0"/>
          </reference>
          <reference field="2" count="1" selected="0">
            <x v="3"/>
          </reference>
          <reference field="3" count="1" selected="0">
            <x v="2"/>
          </reference>
        </references>
      </pivotArea>
    </chartFormat>
    <chartFormat chart="1" format="48">
      <pivotArea type="data" outline="0" fieldPosition="0">
        <references count="3">
          <reference field="4294967294" count="1" selected="0">
            <x v="0"/>
          </reference>
          <reference field="2" count="1" selected="0">
            <x v="4"/>
          </reference>
          <reference field="3" count="1" selected="0">
            <x v="2"/>
          </reference>
        </references>
      </pivotArea>
    </chartFormat>
    <chartFormat chart="1" format="49">
      <pivotArea type="data" outline="0" fieldPosition="0">
        <references count="3">
          <reference field="4294967294" count="1" selected="0">
            <x v="0"/>
          </reference>
          <reference field="2" count="1" selected="0">
            <x v="5"/>
          </reference>
          <reference field="3" count="1" selected="0">
            <x v="2"/>
          </reference>
        </references>
      </pivotArea>
    </chartFormat>
    <chartFormat chart="1" format="50">
      <pivotArea type="data" outline="0" fieldPosition="0">
        <references count="3">
          <reference field="4294967294" count="1" selected="0">
            <x v="0"/>
          </reference>
          <reference field="2" count="1" selected="0">
            <x v="6"/>
          </reference>
          <reference field="3" count="1" selected="0">
            <x v="2"/>
          </reference>
        </references>
      </pivotArea>
    </chartFormat>
    <chartFormat chart="1" format="51">
      <pivotArea type="data" outline="0" fieldPosition="0">
        <references count="3">
          <reference field="4294967294" count="1" selected="0">
            <x v="0"/>
          </reference>
          <reference field="2" count="1" selected="0">
            <x v="7"/>
          </reference>
          <reference field="3" count="1" selected="0">
            <x v="2"/>
          </reference>
        </references>
      </pivotArea>
    </chartFormat>
    <chartFormat chart="1" format="52">
      <pivotArea type="data" outline="0" fieldPosition="0">
        <references count="3">
          <reference field="4294967294" count="1" selected="0">
            <x v="0"/>
          </reference>
          <reference field="2" count="1" selected="0">
            <x v="8"/>
          </reference>
          <reference field="3" count="1" selected="0">
            <x v="2"/>
          </reference>
        </references>
      </pivotArea>
    </chartFormat>
    <chartFormat chart="1" format="53">
      <pivotArea type="data" outline="0" fieldPosition="0">
        <references count="3">
          <reference field="4294967294" count="1" selected="0">
            <x v="0"/>
          </reference>
          <reference field="2" count="1" selected="0">
            <x v="9"/>
          </reference>
          <reference field="3" count="1" selected="0">
            <x v="2"/>
          </reference>
        </references>
      </pivotArea>
    </chartFormat>
    <chartFormat chart="1" format="54">
      <pivotArea type="data" outline="0" fieldPosition="0">
        <references count="3">
          <reference field="4294967294" count="1" selected="0">
            <x v="0"/>
          </reference>
          <reference field="2" count="1" selected="0">
            <x v="10"/>
          </reference>
          <reference field="3" count="1" selected="0">
            <x v="2"/>
          </reference>
        </references>
      </pivotArea>
    </chartFormat>
    <chartFormat chart="1" format="55">
      <pivotArea type="data" outline="0" fieldPosition="0">
        <references count="3">
          <reference field="4294967294" count="1" selected="0">
            <x v="0"/>
          </reference>
          <reference field="2" count="1" selected="0">
            <x v="11"/>
          </reference>
          <reference field="3" count="1" selected="0">
            <x v="2"/>
          </reference>
        </references>
      </pivotArea>
    </chartFormat>
    <chartFormat chart="1" format="56">
      <pivotArea type="data" outline="0" fieldPosition="0">
        <references count="3">
          <reference field="4294967294" count="1" selected="0">
            <x v="0"/>
          </reference>
          <reference field="2" count="1" selected="0">
            <x v="12"/>
          </reference>
          <reference field="3" count="1" selected="0">
            <x v="2"/>
          </reference>
        </references>
      </pivotArea>
    </chartFormat>
    <chartFormat chart="1" format="57">
      <pivotArea type="data" outline="0" fieldPosition="0">
        <references count="3">
          <reference field="4294967294" count="1" selected="0">
            <x v="0"/>
          </reference>
          <reference field="2" count="1" selected="0">
            <x v="13"/>
          </reference>
          <reference field="3" count="1" selected="0">
            <x v="2"/>
          </reference>
        </references>
      </pivotArea>
    </chartFormat>
    <chartFormat chart="1" format="58">
      <pivotArea type="data" outline="0" fieldPosition="0">
        <references count="3">
          <reference field="4294967294" count="1" selected="0">
            <x v="0"/>
          </reference>
          <reference field="2" count="1" selected="0">
            <x v="14"/>
          </reference>
          <reference field="3" count="1" selected="0">
            <x v="2"/>
          </reference>
        </references>
      </pivotArea>
    </chartFormat>
    <chartFormat chart="1" format="59">
      <pivotArea type="data" outline="0" fieldPosition="0">
        <references count="3">
          <reference field="4294967294" count="1" selected="0">
            <x v="0"/>
          </reference>
          <reference field="2" count="1" selected="0">
            <x v="15"/>
          </reference>
          <reference field="3" count="1" selected="0">
            <x v="2"/>
          </reference>
        </references>
      </pivotArea>
    </chartFormat>
    <chartFormat chart="1" format="60">
      <pivotArea type="data" outline="0" fieldPosition="0">
        <references count="3">
          <reference field="4294967294" count="1" selected="0">
            <x v="0"/>
          </reference>
          <reference field="2" count="1" selected="0">
            <x v="0"/>
          </reference>
          <reference field="3" count="1" selected="0">
            <x v="3"/>
          </reference>
        </references>
      </pivotArea>
    </chartFormat>
    <chartFormat chart="1" format="61">
      <pivotArea type="data" outline="0" fieldPosition="0">
        <references count="3">
          <reference field="4294967294" count="1" selected="0">
            <x v="0"/>
          </reference>
          <reference field="2" count="1" selected="0">
            <x v="1"/>
          </reference>
          <reference field="3" count="1" selected="0">
            <x v="3"/>
          </reference>
        </references>
      </pivotArea>
    </chartFormat>
    <chartFormat chart="1" format="62">
      <pivotArea type="data" outline="0" fieldPosition="0">
        <references count="3">
          <reference field="4294967294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1" format="63">
      <pivotArea type="data" outline="0" fieldPosition="0">
        <references count="3">
          <reference field="4294967294" count="1" selected="0">
            <x v="0"/>
          </reference>
          <reference field="2" count="1" selected="0">
            <x v="3"/>
          </reference>
          <reference field="3" count="1" selected="0">
            <x v="3"/>
          </reference>
        </references>
      </pivotArea>
    </chartFormat>
    <chartFormat chart="1" format="64">
      <pivotArea type="data" outline="0" fieldPosition="0">
        <references count="3">
          <reference field="4294967294" count="1" selected="0">
            <x v="0"/>
          </reference>
          <reference field="2" count="1" selected="0">
            <x v="4"/>
          </reference>
          <reference field="3" count="1" selected="0">
            <x v="3"/>
          </reference>
        </references>
      </pivotArea>
    </chartFormat>
    <chartFormat chart="1" format="65">
      <pivotArea type="data" outline="0" fieldPosition="0">
        <references count="3">
          <reference field="4294967294" count="1" selected="0">
            <x v="0"/>
          </reference>
          <reference field="2" count="1" selected="0">
            <x v="5"/>
          </reference>
          <reference field="3" count="1" selected="0">
            <x v="3"/>
          </reference>
        </references>
      </pivotArea>
    </chartFormat>
    <chartFormat chart="1" format="66">
      <pivotArea type="data" outline="0" fieldPosition="0">
        <references count="3">
          <reference field="4294967294" count="1" selected="0">
            <x v="0"/>
          </reference>
          <reference field="2" count="1" selected="0">
            <x v="6"/>
          </reference>
          <reference field="3" count="1" selected="0">
            <x v="3"/>
          </reference>
        </references>
      </pivotArea>
    </chartFormat>
    <chartFormat chart="1" format="67">
      <pivotArea type="data" outline="0" fieldPosition="0">
        <references count="3">
          <reference field="4294967294" count="1" selected="0">
            <x v="0"/>
          </reference>
          <reference field="2" count="1" selected="0">
            <x v="7"/>
          </reference>
          <reference field="3" count="1" selected="0">
            <x v="3"/>
          </reference>
        </references>
      </pivotArea>
    </chartFormat>
    <chartFormat chart="1" format="68">
      <pivotArea type="data" outline="0" fieldPosition="0">
        <references count="3">
          <reference field="4294967294" count="1" selected="0">
            <x v="0"/>
          </reference>
          <reference field="2" count="1" selected="0">
            <x v="8"/>
          </reference>
          <reference field="3" count="1" selected="0">
            <x v="3"/>
          </reference>
        </references>
      </pivotArea>
    </chartFormat>
    <chartFormat chart="1" format="69">
      <pivotArea type="data" outline="0" fieldPosition="0">
        <references count="3">
          <reference field="4294967294" count="1" selected="0">
            <x v="0"/>
          </reference>
          <reference field="2" count="1" selected="0">
            <x v="9"/>
          </reference>
          <reference field="3" count="1" selected="0">
            <x v="3"/>
          </reference>
        </references>
      </pivotArea>
    </chartFormat>
    <chartFormat chart="1" format="70">
      <pivotArea type="data" outline="0" fieldPosition="0">
        <references count="3">
          <reference field="4294967294" count="1" selected="0">
            <x v="0"/>
          </reference>
          <reference field="2" count="1" selected="0">
            <x v="10"/>
          </reference>
          <reference field="3" count="1" selected="0">
            <x v="3"/>
          </reference>
        </references>
      </pivotArea>
    </chartFormat>
    <chartFormat chart="1" format="71">
      <pivotArea type="data" outline="0" fieldPosition="0">
        <references count="3">
          <reference field="4294967294" count="1" selected="0">
            <x v="0"/>
          </reference>
          <reference field="2" count="1" selected="0">
            <x v="11"/>
          </reference>
          <reference field="3" count="1" selected="0">
            <x v="3"/>
          </reference>
        </references>
      </pivotArea>
    </chartFormat>
    <chartFormat chart="1" format="72">
      <pivotArea type="data" outline="0" fieldPosition="0">
        <references count="3">
          <reference field="4294967294" count="1" selected="0">
            <x v="0"/>
          </reference>
          <reference field="2" count="1" selected="0">
            <x v="12"/>
          </reference>
          <reference field="3" count="1" selected="0">
            <x v="3"/>
          </reference>
        </references>
      </pivotArea>
    </chartFormat>
    <chartFormat chart="1" format="73">
      <pivotArea type="data" outline="0" fieldPosition="0">
        <references count="3">
          <reference field="4294967294" count="1" selected="0">
            <x v="0"/>
          </reference>
          <reference field="2" count="1" selected="0">
            <x v="13"/>
          </reference>
          <reference field="3" count="1" selected="0">
            <x v="3"/>
          </reference>
        </references>
      </pivotArea>
    </chartFormat>
    <chartFormat chart="1" format="74">
      <pivotArea type="data" outline="0" fieldPosition="0">
        <references count="3">
          <reference field="4294967294" count="1" selected="0">
            <x v="0"/>
          </reference>
          <reference field="2" count="1" selected="0">
            <x v="14"/>
          </reference>
          <reference field="3" count="1" selected="0">
            <x v="3"/>
          </reference>
        </references>
      </pivotArea>
    </chartFormat>
    <chartFormat chart="1" format="75">
      <pivotArea type="data" outline="0" fieldPosition="0">
        <references count="3">
          <reference field="4294967294" count="1" selected="0">
            <x v="0"/>
          </reference>
          <reference field="2" count="1" selected="0">
            <x v="15"/>
          </reference>
          <reference field="3" count="1" selected="0">
            <x v="3"/>
          </reference>
        </references>
      </pivotArea>
    </chartFormat>
    <chartFormat chart="1" format="76">
      <pivotArea type="data" outline="0" fieldPosition="0">
        <references count="3">
          <reference field="4294967294" count="1" selected="0">
            <x v="0"/>
          </reference>
          <reference field="2" count="1" selected="0">
            <x v="0"/>
          </reference>
          <reference field="3" count="1" selected="0">
            <x v="4"/>
          </reference>
        </references>
      </pivotArea>
    </chartFormat>
    <chartFormat chart="1" format="77">
      <pivotArea type="data" outline="0" fieldPosition="0">
        <references count="3">
          <reference field="4294967294" count="1" selected="0">
            <x v="0"/>
          </reference>
          <reference field="2" count="1" selected="0">
            <x v="1"/>
          </reference>
          <reference field="3" count="1" selected="0">
            <x v="4"/>
          </reference>
        </references>
      </pivotArea>
    </chartFormat>
    <chartFormat chart="1" format="78">
      <pivotArea type="data" outline="0" fieldPosition="0">
        <references count="3">
          <reference field="4294967294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1" format="79">
      <pivotArea type="data" outline="0" fieldPosition="0">
        <references count="3">
          <reference field="4294967294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1" format="80">
      <pivotArea type="data" outline="0" fieldPosition="0">
        <references count="3">
          <reference field="4294967294" count="1" selected="0">
            <x v="0"/>
          </reference>
          <reference field="2" count="1" selected="0">
            <x v="4"/>
          </reference>
          <reference field="3" count="1" selected="0">
            <x v="4"/>
          </reference>
        </references>
      </pivotArea>
    </chartFormat>
    <chartFormat chart="1" format="81">
      <pivotArea type="data" outline="0" fieldPosition="0">
        <references count="3">
          <reference field="4294967294" count="1" selected="0">
            <x v="0"/>
          </reference>
          <reference field="2" count="1" selected="0">
            <x v="5"/>
          </reference>
          <reference field="3" count="1" selected="0">
            <x v="4"/>
          </reference>
        </references>
      </pivotArea>
    </chartFormat>
    <chartFormat chart="1" format="82">
      <pivotArea type="data" outline="0" fieldPosition="0">
        <references count="3">
          <reference field="4294967294" count="1" selected="0">
            <x v="0"/>
          </reference>
          <reference field="2" count="1" selected="0">
            <x v="6"/>
          </reference>
          <reference field="3" count="1" selected="0">
            <x v="4"/>
          </reference>
        </references>
      </pivotArea>
    </chartFormat>
    <chartFormat chart="1" format="83">
      <pivotArea type="data" outline="0" fieldPosition="0">
        <references count="3">
          <reference field="4294967294" count="1" selected="0">
            <x v="0"/>
          </reference>
          <reference field="2" count="1" selected="0">
            <x v="7"/>
          </reference>
          <reference field="3" count="1" selected="0">
            <x v="4"/>
          </reference>
        </references>
      </pivotArea>
    </chartFormat>
    <chartFormat chart="1" format="84">
      <pivotArea type="data" outline="0" fieldPosition="0">
        <references count="3">
          <reference field="4294967294" count="1" selected="0">
            <x v="0"/>
          </reference>
          <reference field="2" count="1" selected="0">
            <x v="8"/>
          </reference>
          <reference field="3" count="1" selected="0">
            <x v="4"/>
          </reference>
        </references>
      </pivotArea>
    </chartFormat>
    <chartFormat chart="1" format="85">
      <pivotArea type="data" outline="0" fieldPosition="0">
        <references count="3">
          <reference field="4294967294" count="1" selected="0">
            <x v="0"/>
          </reference>
          <reference field="2" count="1" selected="0">
            <x v="9"/>
          </reference>
          <reference field="3" count="1" selected="0">
            <x v="4"/>
          </reference>
        </references>
      </pivotArea>
    </chartFormat>
    <chartFormat chart="1" format="86">
      <pivotArea type="data" outline="0" fieldPosition="0">
        <references count="3">
          <reference field="4294967294" count="1" selected="0">
            <x v="0"/>
          </reference>
          <reference field="2" count="1" selected="0">
            <x v="10"/>
          </reference>
          <reference field="3" count="1" selected="0">
            <x v="4"/>
          </reference>
        </references>
      </pivotArea>
    </chartFormat>
    <chartFormat chart="1" format="87">
      <pivotArea type="data" outline="0" fieldPosition="0">
        <references count="3">
          <reference field="4294967294" count="1" selected="0">
            <x v="0"/>
          </reference>
          <reference field="2" count="1" selected="0">
            <x v="11"/>
          </reference>
          <reference field="3" count="1" selected="0">
            <x v="4"/>
          </reference>
        </references>
      </pivotArea>
    </chartFormat>
    <chartFormat chart="1" format="88">
      <pivotArea type="data" outline="0" fieldPosition="0">
        <references count="3">
          <reference field="4294967294" count="1" selected="0">
            <x v="0"/>
          </reference>
          <reference field="2" count="1" selected="0">
            <x v="12"/>
          </reference>
          <reference field="3" count="1" selected="0">
            <x v="4"/>
          </reference>
        </references>
      </pivotArea>
    </chartFormat>
    <chartFormat chart="1" format="89">
      <pivotArea type="data" outline="0" fieldPosition="0">
        <references count="3">
          <reference field="4294967294" count="1" selected="0">
            <x v="0"/>
          </reference>
          <reference field="2" count="1" selected="0">
            <x v="13"/>
          </reference>
          <reference field="3" count="1" selected="0">
            <x v="4"/>
          </reference>
        </references>
      </pivotArea>
    </chartFormat>
    <chartFormat chart="1" format="90">
      <pivotArea type="data" outline="0" fieldPosition="0">
        <references count="3">
          <reference field="4294967294" count="1" selected="0">
            <x v="0"/>
          </reference>
          <reference field="2" count="1" selected="0">
            <x v="14"/>
          </reference>
          <reference field="3" count="1" selected="0">
            <x v="4"/>
          </reference>
        </references>
      </pivotArea>
    </chartFormat>
    <chartFormat chart="1" format="91">
      <pivotArea type="data" outline="0" fieldPosition="0">
        <references count="3">
          <reference field="4294967294" count="1" selected="0">
            <x v="0"/>
          </reference>
          <reference field="2" count="1" selected="0">
            <x v="15"/>
          </reference>
          <reference field="3" count="1" selected="0">
            <x v="4"/>
          </reference>
        </references>
      </pivotArea>
    </chartFormat>
    <chartFormat chart="1" format="92">
      <pivotArea type="data" outline="0" fieldPosition="0">
        <references count="3">
          <reference field="4294967294" count="1" selected="0">
            <x v="0"/>
          </reference>
          <reference field="2" count="1" selected="0">
            <x v="0"/>
          </reference>
          <reference field="3" count="1" selected="0">
            <x v="5"/>
          </reference>
        </references>
      </pivotArea>
    </chartFormat>
    <chartFormat chart="1" format="93">
      <pivotArea type="data" outline="0" fieldPosition="0">
        <references count="3">
          <reference field="4294967294" count="1" selected="0">
            <x v="0"/>
          </reference>
          <reference field="2" count="1" selected="0">
            <x v="1"/>
          </reference>
          <reference field="3" count="1" selected="0">
            <x v="5"/>
          </reference>
        </references>
      </pivotArea>
    </chartFormat>
    <chartFormat chart="1" format="94">
      <pivotArea type="data" outline="0" fieldPosition="0">
        <references count="3">
          <reference field="4294967294" count="1" selected="0">
            <x v="0"/>
          </reference>
          <reference field="2" count="1" selected="0">
            <x v="2"/>
          </reference>
          <reference field="3" count="1" selected="0">
            <x v="5"/>
          </reference>
        </references>
      </pivotArea>
    </chartFormat>
    <chartFormat chart="1" format="95">
      <pivotArea type="data" outline="0" fieldPosition="0">
        <references count="3">
          <reference field="4294967294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1" format="96">
      <pivotArea type="data" outline="0" fieldPosition="0">
        <references count="3">
          <reference field="4294967294" count="1" selected="0">
            <x v="0"/>
          </reference>
          <reference field="2" count="1" selected="0">
            <x v="4"/>
          </reference>
          <reference field="3" count="1" selected="0">
            <x v="5"/>
          </reference>
        </references>
      </pivotArea>
    </chartFormat>
    <chartFormat chart="1" format="97">
      <pivotArea type="data" outline="0" fieldPosition="0">
        <references count="3">
          <reference field="4294967294" count="1" selected="0">
            <x v="0"/>
          </reference>
          <reference field="2" count="1" selected="0">
            <x v="5"/>
          </reference>
          <reference field="3" count="1" selected="0">
            <x v="5"/>
          </reference>
        </references>
      </pivotArea>
    </chartFormat>
    <chartFormat chart="1" format="98">
      <pivotArea type="data" outline="0" fieldPosition="0">
        <references count="3">
          <reference field="4294967294" count="1" selected="0">
            <x v="0"/>
          </reference>
          <reference field="2" count="1" selected="0">
            <x v="6"/>
          </reference>
          <reference field="3" count="1" selected="0">
            <x v="5"/>
          </reference>
        </references>
      </pivotArea>
    </chartFormat>
    <chartFormat chart="1" format="99">
      <pivotArea type="data" outline="0" fieldPosition="0">
        <references count="3">
          <reference field="4294967294" count="1" selected="0">
            <x v="0"/>
          </reference>
          <reference field="2" count="1" selected="0">
            <x v="7"/>
          </reference>
          <reference field="3" count="1" selected="0">
            <x v="5"/>
          </reference>
        </references>
      </pivotArea>
    </chartFormat>
    <chartFormat chart="1" format="100">
      <pivotArea type="data" outline="0" fieldPosition="0">
        <references count="3">
          <reference field="4294967294" count="1" selected="0">
            <x v="0"/>
          </reference>
          <reference field="2" count="1" selected="0">
            <x v="8"/>
          </reference>
          <reference field="3" count="1" selected="0">
            <x v="5"/>
          </reference>
        </references>
      </pivotArea>
    </chartFormat>
    <chartFormat chart="1" format="101">
      <pivotArea type="data" outline="0" fieldPosition="0">
        <references count="3">
          <reference field="4294967294" count="1" selected="0">
            <x v="0"/>
          </reference>
          <reference field="2" count="1" selected="0">
            <x v="9"/>
          </reference>
          <reference field="3" count="1" selected="0">
            <x v="5"/>
          </reference>
        </references>
      </pivotArea>
    </chartFormat>
    <chartFormat chart="1" format="102">
      <pivotArea type="data" outline="0" fieldPosition="0">
        <references count="3">
          <reference field="4294967294" count="1" selected="0">
            <x v="0"/>
          </reference>
          <reference field="2" count="1" selected="0">
            <x v="10"/>
          </reference>
          <reference field="3" count="1" selected="0">
            <x v="5"/>
          </reference>
        </references>
      </pivotArea>
    </chartFormat>
    <chartFormat chart="1" format="103">
      <pivotArea type="data" outline="0" fieldPosition="0">
        <references count="3">
          <reference field="4294967294" count="1" selected="0">
            <x v="0"/>
          </reference>
          <reference field="2" count="1" selected="0">
            <x v="11"/>
          </reference>
          <reference field="3" count="1" selected="0">
            <x v="5"/>
          </reference>
        </references>
      </pivotArea>
    </chartFormat>
    <chartFormat chart="1" format="104">
      <pivotArea type="data" outline="0" fieldPosition="0">
        <references count="3">
          <reference field="4294967294" count="1" selected="0">
            <x v="0"/>
          </reference>
          <reference field="2" count="1" selected="0">
            <x v="12"/>
          </reference>
          <reference field="3" count="1" selected="0">
            <x v="5"/>
          </reference>
        </references>
      </pivotArea>
    </chartFormat>
    <chartFormat chart="1" format="105">
      <pivotArea type="data" outline="0" fieldPosition="0">
        <references count="3">
          <reference field="4294967294" count="1" selected="0">
            <x v="0"/>
          </reference>
          <reference field="2" count="1" selected="0">
            <x v="13"/>
          </reference>
          <reference field="3" count="1" selected="0">
            <x v="5"/>
          </reference>
        </references>
      </pivotArea>
    </chartFormat>
    <chartFormat chart="1" format="106">
      <pivotArea type="data" outline="0" fieldPosition="0">
        <references count="3">
          <reference field="4294967294" count="1" selected="0">
            <x v="0"/>
          </reference>
          <reference field="2" count="1" selected="0">
            <x v="14"/>
          </reference>
          <reference field="3" count="1" selected="0">
            <x v="5"/>
          </reference>
        </references>
      </pivotArea>
    </chartFormat>
    <chartFormat chart="1" format="107">
      <pivotArea type="data" outline="0" fieldPosition="0">
        <references count="3">
          <reference field="4294967294" count="1" selected="0">
            <x v="0"/>
          </reference>
          <reference field="2" count="1" selected="0">
            <x v="15"/>
          </reference>
          <reference field="3" count="1" selected="0">
            <x v="5"/>
          </reference>
        </references>
      </pivotArea>
    </chartFormat>
    <chartFormat chart="1" format="108">
      <pivotArea type="data" outline="0" fieldPosition="0">
        <references count="3">
          <reference field="4294967294" count="1" selected="0">
            <x v="0"/>
          </reference>
          <reference field="2" count="1" selected="0">
            <x v="0"/>
          </reference>
          <reference field="3" count="1" selected="0">
            <x v="6"/>
          </reference>
        </references>
      </pivotArea>
    </chartFormat>
    <chartFormat chart="1" format="109">
      <pivotArea type="data" outline="0" fieldPosition="0">
        <references count="3">
          <reference field="4294967294" count="1" selected="0">
            <x v="0"/>
          </reference>
          <reference field="2" count="1" selected="0">
            <x v="1"/>
          </reference>
          <reference field="3" count="1" selected="0">
            <x v="6"/>
          </reference>
        </references>
      </pivotArea>
    </chartFormat>
    <chartFormat chart="1" format="110">
      <pivotArea type="data" outline="0" fieldPosition="0">
        <references count="3">
          <reference field="4294967294" count="1" selected="0">
            <x v="0"/>
          </reference>
          <reference field="2" count="1" selected="0">
            <x v="2"/>
          </reference>
          <reference field="3" count="1" selected="0">
            <x v="6"/>
          </reference>
        </references>
      </pivotArea>
    </chartFormat>
    <chartFormat chart="1" format="111">
      <pivotArea type="data" outline="0" fieldPosition="0">
        <references count="3">
          <reference field="4294967294" count="1" selected="0">
            <x v="0"/>
          </reference>
          <reference field="2" count="1" selected="0">
            <x v="3"/>
          </reference>
          <reference field="3" count="1" selected="0">
            <x v="6"/>
          </reference>
        </references>
      </pivotArea>
    </chartFormat>
    <chartFormat chart="1" format="112">
      <pivotArea type="data" outline="0" fieldPosition="0">
        <references count="3">
          <reference field="4294967294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1" format="113">
      <pivotArea type="data" outline="0" fieldPosition="0">
        <references count="3">
          <reference field="4294967294" count="1" selected="0">
            <x v="0"/>
          </reference>
          <reference field="2" count="1" selected="0">
            <x v="5"/>
          </reference>
          <reference field="3" count="1" selected="0">
            <x v="6"/>
          </reference>
        </references>
      </pivotArea>
    </chartFormat>
    <chartFormat chart="1" format="114">
      <pivotArea type="data" outline="0" fieldPosition="0">
        <references count="3">
          <reference field="4294967294" count="1" selected="0">
            <x v="0"/>
          </reference>
          <reference field="2" count="1" selected="0">
            <x v="6"/>
          </reference>
          <reference field="3" count="1" selected="0">
            <x v="6"/>
          </reference>
        </references>
      </pivotArea>
    </chartFormat>
    <chartFormat chart="1" format="115">
      <pivotArea type="data" outline="0" fieldPosition="0">
        <references count="3">
          <reference field="4294967294" count="1" selected="0">
            <x v="0"/>
          </reference>
          <reference field="2" count="1" selected="0">
            <x v="7"/>
          </reference>
          <reference field="3" count="1" selected="0">
            <x v="6"/>
          </reference>
        </references>
      </pivotArea>
    </chartFormat>
    <chartFormat chart="1" format="116">
      <pivotArea type="data" outline="0" fieldPosition="0">
        <references count="3">
          <reference field="4294967294" count="1" selected="0">
            <x v="0"/>
          </reference>
          <reference field="2" count="1" selected="0">
            <x v="8"/>
          </reference>
          <reference field="3" count="1" selected="0">
            <x v="6"/>
          </reference>
        </references>
      </pivotArea>
    </chartFormat>
    <chartFormat chart="1" format="117">
      <pivotArea type="data" outline="0" fieldPosition="0">
        <references count="3">
          <reference field="4294967294" count="1" selected="0">
            <x v="0"/>
          </reference>
          <reference field="2" count="1" selected="0">
            <x v="9"/>
          </reference>
          <reference field="3" count="1" selected="0">
            <x v="6"/>
          </reference>
        </references>
      </pivotArea>
    </chartFormat>
    <chartFormat chart="1" format="118">
      <pivotArea type="data" outline="0" fieldPosition="0">
        <references count="3">
          <reference field="4294967294" count="1" selected="0">
            <x v="0"/>
          </reference>
          <reference field="2" count="1" selected="0">
            <x v="10"/>
          </reference>
          <reference field="3" count="1" selected="0">
            <x v="6"/>
          </reference>
        </references>
      </pivotArea>
    </chartFormat>
    <chartFormat chart="1" format="119">
      <pivotArea type="data" outline="0" fieldPosition="0">
        <references count="3">
          <reference field="4294967294" count="1" selected="0">
            <x v="0"/>
          </reference>
          <reference field="2" count="1" selected="0">
            <x v="11"/>
          </reference>
          <reference field="3" count="1" selected="0">
            <x v="6"/>
          </reference>
        </references>
      </pivotArea>
    </chartFormat>
    <chartFormat chart="1" format="120">
      <pivotArea type="data" outline="0" fieldPosition="0">
        <references count="3">
          <reference field="4294967294" count="1" selected="0">
            <x v="0"/>
          </reference>
          <reference field="2" count="1" selected="0">
            <x v="12"/>
          </reference>
          <reference field="3" count="1" selected="0">
            <x v="6"/>
          </reference>
        </references>
      </pivotArea>
    </chartFormat>
    <chartFormat chart="1" format="121">
      <pivotArea type="data" outline="0" fieldPosition="0">
        <references count="3">
          <reference field="4294967294" count="1" selected="0">
            <x v="0"/>
          </reference>
          <reference field="2" count="1" selected="0">
            <x v="13"/>
          </reference>
          <reference field="3" count="1" selected="0">
            <x v="6"/>
          </reference>
        </references>
      </pivotArea>
    </chartFormat>
    <chartFormat chart="1" format="122">
      <pivotArea type="data" outline="0" fieldPosition="0">
        <references count="3">
          <reference field="4294967294" count="1" selected="0">
            <x v="0"/>
          </reference>
          <reference field="2" count="1" selected="0">
            <x v="14"/>
          </reference>
          <reference field="3" count="1" selected="0">
            <x v="6"/>
          </reference>
        </references>
      </pivotArea>
    </chartFormat>
    <chartFormat chart="1" format="123">
      <pivotArea type="data" outline="0" fieldPosition="0">
        <references count="3">
          <reference field="4294967294" count="1" selected="0">
            <x v="0"/>
          </reference>
          <reference field="2" count="1" selected="0">
            <x v="15"/>
          </reference>
          <reference field="3" count="1" selected="0">
            <x v="6"/>
          </reference>
        </references>
      </pivotArea>
    </chartFormat>
    <chartFormat chart="1" format="124">
      <pivotArea type="data" outline="0" fieldPosition="0">
        <references count="3">
          <reference field="4294967294" count="1" selected="0">
            <x v="0"/>
          </reference>
          <reference field="2" count="1" selected="0">
            <x v="0"/>
          </reference>
          <reference field="3" count="1" selected="0">
            <x v="7"/>
          </reference>
        </references>
      </pivotArea>
    </chartFormat>
    <chartFormat chart="1" format="125">
      <pivotArea type="data" outline="0" fieldPosition="0">
        <references count="3">
          <reference field="4294967294" count="1" selected="0">
            <x v="0"/>
          </reference>
          <reference field="2" count="1" selected="0">
            <x v="1"/>
          </reference>
          <reference field="3" count="1" selected="0">
            <x v="7"/>
          </reference>
        </references>
      </pivotArea>
    </chartFormat>
    <chartFormat chart="1" format="126">
      <pivotArea type="data" outline="0" fieldPosition="0">
        <references count="3">
          <reference field="4294967294" count="1" selected="0">
            <x v="0"/>
          </reference>
          <reference field="2" count="1" selected="0">
            <x v="2"/>
          </reference>
          <reference field="3" count="1" selected="0">
            <x v="7"/>
          </reference>
        </references>
      </pivotArea>
    </chartFormat>
    <chartFormat chart="1" format="127">
      <pivotArea type="data" outline="0" fieldPosition="0">
        <references count="3">
          <reference field="4294967294" count="1" selected="0">
            <x v="0"/>
          </reference>
          <reference field="2" count="1" selected="0">
            <x v="3"/>
          </reference>
          <reference field="3" count="1" selected="0">
            <x v="7"/>
          </reference>
        </references>
      </pivotArea>
    </chartFormat>
    <chartFormat chart="1" format="128">
      <pivotArea type="data" outline="0" fieldPosition="0">
        <references count="3">
          <reference field="4294967294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1" format="129">
      <pivotArea type="data" outline="0" fieldPosition="0">
        <references count="3">
          <reference field="4294967294" count="1" selected="0">
            <x v="0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1" format="130">
      <pivotArea type="data" outline="0" fieldPosition="0">
        <references count="3">
          <reference field="4294967294" count="1" selected="0">
            <x v="0"/>
          </reference>
          <reference field="2" count="1" selected="0">
            <x v="6"/>
          </reference>
          <reference field="3" count="1" selected="0">
            <x v="7"/>
          </reference>
        </references>
      </pivotArea>
    </chartFormat>
    <chartFormat chart="1" format="131">
      <pivotArea type="data" outline="0" fieldPosition="0">
        <references count="3">
          <reference field="4294967294" count="1" selected="0">
            <x v="0"/>
          </reference>
          <reference field="2" count="1" selected="0">
            <x v="7"/>
          </reference>
          <reference field="3" count="1" selected="0">
            <x v="7"/>
          </reference>
        </references>
      </pivotArea>
    </chartFormat>
    <chartFormat chart="1" format="132">
      <pivotArea type="data" outline="0" fieldPosition="0">
        <references count="3">
          <reference field="4294967294" count="1" selected="0">
            <x v="0"/>
          </reference>
          <reference field="2" count="1" selected="0">
            <x v="8"/>
          </reference>
          <reference field="3" count="1" selected="0">
            <x v="7"/>
          </reference>
        </references>
      </pivotArea>
    </chartFormat>
    <chartFormat chart="1" format="133">
      <pivotArea type="data" outline="0" fieldPosition="0">
        <references count="3">
          <reference field="4294967294" count="1" selected="0">
            <x v="0"/>
          </reference>
          <reference field="2" count="1" selected="0">
            <x v="9"/>
          </reference>
          <reference field="3" count="1" selected="0">
            <x v="7"/>
          </reference>
        </references>
      </pivotArea>
    </chartFormat>
    <chartFormat chart="1" format="134">
      <pivotArea type="data" outline="0" fieldPosition="0">
        <references count="3">
          <reference field="4294967294" count="1" selected="0">
            <x v="0"/>
          </reference>
          <reference field="2" count="1" selected="0">
            <x v="10"/>
          </reference>
          <reference field="3" count="1" selected="0">
            <x v="7"/>
          </reference>
        </references>
      </pivotArea>
    </chartFormat>
    <chartFormat chart="1" format="135">
      <pivotArea type="data" outline="0" fieldPosition="0">
        <references count="3">
          <reference field="4294967294" count="1" selected="0">
            <x v="0"/>
          </reference>
          <reference field="2" count="1" selected="0">
            <x v="11"/>
          </reference>
          <reference field="3" count="1" selected="0">
            <x v="7"/>
          </reference>
        </references>
      </pivotArea>
    </chartFormat>
    <chartFormat chart="1" format="136">
      <pivotArea type="data" outline="0" fieldPosition="0">
        <references count="3">
          <reference field="4294967294" count="1" selected="0">
            <x v="0"/>
          </reference>
          <reference field="2" count="1" selected="0">
            <x v="12"/>
          </reference>
          <reference field="3" count="1" selected="0">
            <x v="7"/>
          </reference>
        </references>
      </pivotArea>
    </chartFormat>
    <chartFormat chart="1" format="137">
      <pivotArea type="data" outline="0" fieldPosition="0">
        <references count="3">
          <reference field="4294967294" count="1" selected="0">
            <x v="0"/>
          </reference>
          <reference field="2" count="1" selected="0">
            <x v="13"/>
          </reference>
          <reference field="3" count="1" selected="0">
            <x v="7"/>
          </reference>
        </references>
      </pivotArea>
    </chartFormat>
    <chartFormat chart="1" format="138">
      <pivotArea type="data" outline="0" fieldPosition="0">
        <references count="3">
          <reference field="4294967294" count="1" selected="0">
            <x v="0"/>
          </reference>
          <reference field="2" count="1" selected="0">
            <x v="14"/>
          </reference>
          <reference field="3" count="1" selected="0">
            <x v="7"/>
          </reference>
        </references>
      </pivotArea>
    </chartFormat>
    <chartFormat chart="1" format="139">
      <pivotArea type="data" outline="0" fieldPosition="0">
        <references count="3">
          <reference field="4294967294" count="1" selected="0">
            <x v="0"/>
          </reference>
          <reference field="2" count="1" selected="0">
            <x v="15"/>
          </reference>
          <reference field="3" count="1" selected="0">
            <x v="7"/>
          </reference>
        </references>
      </pivotArea>
    </chartFormat>
    <chartFormat chart="1" format="140">
      <pivotArea type="data" outline="0" fieldPosition="0">
        <references count="3">
          <reference field="4294967294" count="1" selected="0">
            <x v="0"/>
          </reference>
          <reference field="2" count="1" selected="0">
            <x v="0"/>
          </reference>
          <reference field="3" count="1" selected="0">
            <x v="8"/>
          </reference>
        </references>
      </pivotArea>
    </chartFormat>
    <chartFormat chart="1" format="141">
      <pivotArea type="data" outline="0" fieldPosition="0">
        <references count="3">
          <reference field="4294967294" count="1" selected="0">
            <x v="0"/>
          </reference>
          <reference field="2" count="1" selected="0">
            <x v="1"/>
          </reference>
          <reference field="3" count="1" selected="0">
            <x v="8"/>
          </reference>
        </references>
      </pivotArea>
    </chartFormat>
    <chartFormat chart="1" format="142">
      <pivotArea type="data" outline="0" fieldPosition="0">
        <references count="3">
          <reference field="4294967294" count="1" selected="0">
            <x v="0"/>
          </reference>
          <reference field="2" count="1" selected="0">
            <x v="2"/>
          </reference>
          <reference field="3" count="1" selected="0">
            <x v="8"/>
          </reference>
        </references>
      </pivotArea>
    </chartFormat>
    <chartFormat chart="1" format="143">
      <pivotArea type="data" outline="0" fieldPosition="0">
        <references count="3">
          <reference field="4294967294" count="1" selected="0">
            <x v="0"/>
          </reference>
          <reference field="2" count="1" selected="0">
            <x v="3"/>
          </reference>
          <reference field="3" count="1" selected="0">
            <x v="8"/>
          </reference>
        </references>
      </pivotArea>
    </chartFormat>
    <chartFormat chart="1" format="144">
      <pivotArea type="data" outline="0" fieldPosition="0">
        <references count="3">
          <reference field="4294967294" count="1" selected="0">
            <x v="0"/>
          </reference>
          <reference field="2" count="1" selected="0">
            <x v="4"/>
          </reference>
          <reference field="3" count="1" selected="0">
            <x v="8"/>
          </reference>
        </references>
      </pivotArea>
    </chartFormat>
    <chartFormat chart="1" format="145">
      <pivotArea type="data" outline="0" fieldPosition="0">
        <references count="3">
          <reference field="4294967294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1" format="146">
      <pivotArea type="data" outline="0" fieldPosition="0">
        <references count="3">
          <reference field="4294967294" count="1" selected="0">
            <x v="0"/>
          </reference>
          <reference field="2" count="1" selected="0">
            <x v="6"/>
          </reference>
          <reference field="3" count="1" selected="0">
            <x v="8"/>
          </reference>
        </references>
      </pivotArea>
    </chartFormat>
    <chartFormat chart="1" format="147">
      <pivotArea type="data" outline="0" fieldPosition="0">
        <references count="3">
          <reference field="4294967294" count="1" selected="0">
            <x v="0"/>
          </reference>
          <reference field="2" count="1" selected="0">
            <x v="7"/>
          </reference>
          <reference field="3" count="1" selected="0">
            <x v="8"/>
          </reference>
        </references>
      </pivotArea>
    </chartFormat>
    <chartFormat chart="1" format="148">
      <pivotArea type="data" outline="0" fieldPosition="0">
        <references count="3">
          <reference field="4294967294" count="1" selected="0">
            <x v="0"/>
          </reference>
          <reference field="2" count="1" selected="0">
            <x v="8"/>
          </reference>
          <reference field="3" count="1" selected="0">
            <x v="8"/>
          </reference>
        </references>
      </pivotArea>
    </chartFormat>
    <chartFormat chart="1" format="149">
      <pivotArea type="data" outline="0" fieldPosition="0">
        <references count="3">
          <reference field="4294967294" count="1" selected="0">
            <x v="0"/>
          </reference>
          <reference field="2" count="1" selected="0">
            <x v="9"/>
          </reference>
          <reference field="3" count="1" selected="0">
            <x v="8"/>
          </reference>
        </references>
      </pivotArea>
    </chartFormat>
    <chartFormat chart="1" format="150">
      <pivotArea type="data" outline="0" fieldPosition="0">
        <references count="3">
          <reference field="4294967294" count="1" selected="0">
            <x v="0"/>
          </reference>
          <reference field="2" count="1" selected="0">
            <x v="10"/>
          </reference>
          <reference field="3" count="1" selected="0">
            <x v="8"/>
          </reference>
        </references>
      </pivotArea>
    </chartFormat>
    <chartFormat chart="1" format="151">
      <pivotArea type="data" outline="0" fieldPosition="0">
        <references count="3">
          <reference field="4294967294" count="1" selected="0">
            <x v="0"/>
          </reference>
          <reference field="2" count="1" selected="0">
            <x v="11"/>
          </reference>
          <reference field="3" count="1" selected="0">
            <x v="8"/>
          </reference>
        </references>
      </pivotArea>
    </chartFormat>
    <chartFormat chart="1" format="152">
      <pivotArea type="data" outline="0" fieldPosition="0">
        <references count="3">
          <reference field="4294967294" count="1" selected="0">
            <x v="0"/>
          </reference>
          <reference field="2" count="1" selected="0">
            <x v="12"/>
          </reference>
          <reference field="3" count="1" selected="0">
            <x v="8"/>
          </reference>
        </references>
      </pivotArea>
    </chartFormat>
    <chartFormat chart="1" format="153">
      <pivotArea type="data" outline="0" fieldPosition="0">
        <references count="3">
          <reference field="4294967294" count="1" selected="0">
            <x v="0"/>
          </reference>
          <reference field="2" count="1" selected="0">
            <x v="13"/>
          </reference>
          <reference field="3" count="1" selected="0">
            <x v="8"/>
          </reference>
        </references>
      </pivotArea>
    </chartFormat>
    <chartFormat chart="1" format="154">
      <pivotArea type="data" outline="0" fieldPosition="0">
        <references count="3">
          <reference field="4294967294" count="1" selected="0">
            <x v="0"/>
          </reference>
          <reference field="2" count="1" selected="0">
            <x v="14"/>
          </reference>
          <reference field="3" count="1" selected="0">
            <x v="8"/>
          </reference>
        </references>
      </pivotArea>
    </chartFormat>
    <chartFormat chart="1" format="155">
      <pivotArea type="data" outline="0" fieldPosition="0">
        <references count="3">
          <reference field="4294967294" count="1" selected="0">
            <x v="0"/>
          </reference>
          <reference field="2" count="1" selected="0">
            <x v="15"/>
          </reference>
          <reference field="3" count="1" selected="0">
            <x v="8"/>
          </reference>
        </references>
      </pivotArea>
    </chartFormat>
    <chartFormat chart="1" format="156">
      <pivotArea type="data" outline="0" fieldPosition="0">
        <references count="3">
          <reference field="4294967294" count="1" selected="0">
            <x v="0"/>
          </reference>
          <reference field="2" count="1" selected="0">
            <x v="0"/>
          </reference>
          <reference field="3" count="1" selected="0">
            <x v="9"/>
          </reference>
        </references>
      </pivotArea>
    </chartFormat>
    <chartFormat chart="1" format="157">
      <pivotArea type="data" outline="0" fieldPosition="0">
        <references count="3">
          <reference field="4294967294" count="1" selected="0">
            <x v="0"/>
          </reference>
          <reference field="2" count="1" selected="0">
            <x v="1"/>
          </reference>
          <reference field="3" count="1" selected="0">
            <x v="9"/>
          </reference>
        </references>
      </pivotArea>
    </chartFormat>
    <chartFormat chart="1" format="158">
      <pivotArea type="data" outline="0" fieldPosition="0">
        <references count="3">
          <reference field="4294967294" count="1" selected="0">
            <x v="0"/>
          </reference>
          <reference field="2" count="1" selected="0">
            <x v="2"/>
          </reference>
          <reference field="3" count="1" selected="0">
            <x v="9"/>
          </reference>
        </references>
      </pivotArea>
    </chartFormat>
    <chartFormat chart="1" format="159">
      <pivotArea type="data" outline="0" fieldPosition="0">
        <references count="3">
          <reference field="4294967294" count="1" selected="0">
            <x v="0"/>
          </reference>
          <reference field="2" count="1" selected="0">
            <x v="3"/>
          </reference>
          <reference field="3" count="1" selected="0">
            <x v="9"/>
          </reference>
        </references>
      </pivotArea>
    </chartFormat>
    <chartFormat chart="1" format="160">
      <pivotArea type="data" outline="0" fieldPosition="0">
        <references count="3">
          <reference field="4294967294" count="1" selected="0">
            <x v="0"/>
          </reference>
          <reference field="2" count="1" selected="0">
            <x v="4"/>
          </reference>
          <reference field="3" count="1" selected="0">
            <x v="9"/>
          </reference>
        </references>
      </pivotArea>
    </chartFormat>
    <chartFormat chart="1" format="161">
      <pivotArea type="data" outline="0" fieldPosition="0">
        <references count="3">
          <reference field="4294967294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1" format="162">
      <pivotArea type="data" outline="0" fieldPosition="0">
        <references count="3">
          <reference field="4294967294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1" format="163">
      <pivotArea type="data" outline="0" fieldPosition="0">
        <references count="3">
          <reference field="4294967294" count="1" selected="0">
            <x v="0"/>
          </reference>
          <reference field="2" count="1" selected="0">
            <x v="7"/>
          </reference>
          <reference field="3" count="1" selected="0">
            <x v="9"/>
          </reference>
        </references>
      </pivotArea>
    </chartFormat>
    <chartFormat chart="1" format="164">
      <pivotArea type="data" outline="0" fieldPosition="0">
        <references count="3">
          <reference field="4294967294" count="1" selected="0">
            <x v="0"/>
          </reference>
          <reference field="2" count="1" selected="0">
            <x v="8"/>
          </reference>
          <reference field="3" count="1" selected="0">
            <x v="9"/>
          </reference>
        </references>
      </pivotArea>
    </chartFormat>
    <chartFormat chart="1" format="165">
      <pivotArea type="data" outline="0" fieldPosition="0">
        <references count="3">
          <reference field="4294967294" count="1" selected="0">
            <x v="0"/>
          </reference>
          <reference field="2" count="1" selected="0">
            <x v="9"/>
          </reference>
          <reference field="3" count="1" selected="0">
            <x v="9"/>
          </reference>
        </references>
      </pivotArea>
    </chartFormat>
    <chartFormat chart="1" format="166">
      <pivotArea type="data" outline="0" fieldPosition="0">
        <references count="3">
          <reference field="4294967294" count="1" selected="0">
            <x v="0"/>
          </reference>
          <reference field="2" count="1" selected="0">
            <x v="10"/>
          </reference>
          <reference field="3" count="1" selected="0">
            <x v="9"/>
          </reference>
        </references>
      </pivotArea>
    </chartFormat>
    <chartFormat chart="1" format="167">
      <pivotArea type="data" outline="0" fieldPosition="0">
        <references count="3">
          <reference field="4294967294" count="1" selected="0">
            <x v="0"/>
          </reference>
          <reference field="2" count="1" selected="0">
            <x v="11"/>
          </reference>
          <reference field="3" count="1" selected="0">
            <x v="9"/>
          </reference>
        </references>
      </pivotArea>
    </chartFormat>
    <chartFormat chart="1" format="168">
      <pivotArea type="data" outline="0" fieldPosition="0">
        <references count="3">
          <reference field="4294967294" count="1" selected="0">
            <x v="0"/>
          </reference>
          <reference field="2" count="1" selected="0">
            <x v="12"/>
          </reference>
          <reference field="3" count="1" selected="0">
            <x v="9"/>
          </reference>
        </references>
      </pivotArea>
    </chartFormat>
    <chartFormat chart="1" format="169">
      <pivotArea type="data" outline="0" fieldPosition="0">
        <references count="3">
          <reference field="4294967294" count="1" selected="0">
            <x v="0"/>
          </reference>
          <reference field="2" count="1" selected="0">
            <x v="13"/>
          </reference>
          <reference field="3" count="1" selected="0">
            <x v="9"/>
          </reference>
        </references>
      </pivotArea>
    </chartFormat>
    <chartFormat chart="1" format="170">
      <pivotArea type="data" outline="0" fieldPosition="0">
        <references count="3">
          <reference field="4294967294" count="1" selected="0">
            <x v="0"/>
          </reference>
          <reference field="2" count="1" selected="0">
            <x v="14"/>
          </reference>
          <reference field="3" count="1" selected="0">
            <x v="9"/>
          </reference>
        </references>
      </pivotArea>
    </chartFormat>
    <chartFormat chart="1" format="171">
      <pivotArea type="data" outline="0" fieldPosition="0">
        <references count="3">
          <reference field="4294967294" count="1" selected="0">
            <x v="0"/>
          </reference>
          <reference field="2" count="1" selected="0">
            <x v="15"/>
          </reference>
          <reference field="3" count="1" selected="0">
            <x v="9"/>
          </reference>
        </references>
      </pivotArea>
    </chartFormat>
    <chartFormat chart="1" format="172">
      <pivotArea type="data" outline="0" fieldPosition="0">
        <references count="3">
          <reference field="4294967294" count="1" selected="0">
            <x v="0"/>
          </reference>
          <reference field="2" count="1" selected="0">
            <x v="0"/>
          </reference>
          <reference field="3" count="1" selected="0">
            <x v="10"/>
          </reference>
        </references>
      </pivotArea>
    </chartFormat>
    <chartFormat chart="1" format="173">
      <pivotArea type="data" outline="0" fieldPosition="0">
        <references count="3">
          <reference field="4294967294" count="1" selected="0">
            <x v="0"/>
          </reference>
          <reference field="2" count="1" selected="0">
            <x v="1"/>
          </reference>
          <reference field="3" count="1" selected="0">
            <x v="10"/>
          </reference>
        </references>
      </pivotArea>
    </chartFormat>
    <chartFormat chart="1" format="174">
      <pivotArea type="data" outline="0" fieldPosition="0">
        <references count="3">
          <reference field="4294967294" count="1" selected="0">
            <x v="0"/>
          </reference>
          <reference field="2" count="1" selected="0">
            <x v="2"/>
          </reference>
          <reference field="3" count="1" selected="0">
            <x v="10"/>
          </reference>
        </references>
      </pivotArea>
    </chartFormat>
    <chartFormat chart="1" format="175">
      <pivotArea type="data" outline="0" fieldPosition="0">
        <references count="3">
          <reference field="4294967294" count="1" selected="0">
            <x v="0"/>
          </reference>
          <reference field="2" count="1" selected="0">
            <x v="3"/>
          </reference>
          <reference field="3" count="1" selected="0">
            <x v="10"/>
          </reference>
        </references>
      </pivotArea>
    </chartFormat>
    <chartFormat chart="1" format="176">
      <pivotArea type="data" outline="0" fieldPosition="0">
        <references count="3">
          <reference field="4294967294" count="1" selected="0">
            <x v="0"/>
          </reference>
          <reference field="2" count="1" selected="0">
            <x v="4"/>
          </reference>
          <reference field="3" count="1" selected="0">
            <x v="10"/>
          </reference>
        </references>
      </pivotArea>
    </chartFormat>
    <chartFormat chart="1" format="177">
      <pivotArea type="data" outline="0" fieldPosition="0">
        <references count="3">
          <reference field="4294967294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1" format="178">
      <pivotArea type="data" outline="0" fieldPosition="0">
        <references count="3">
          <reference field="4294967294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1" format="179">
      <pivotArea type="data" outline="0" fieldPosition="0">
        <references count="3">
          <reference field="4294967294" count="1" selected="0">
            <x v="0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1" format="180">
      <pivotArea type="data" outline="0" fieldPosition="0">
        <references count="3">
          <reference field="4294967294" count="1" selected="0">
            <x v="0"/>
          </reference>
          <reference field="2" count="1" selected="0">
            <x v="8"/>
          </reference>
          <reference field="3" count="1" selected="0">
            <x v="10"/>
          </reference>
        </references>
      </pivotArea>
    </chartFormat>
    <chartFormat chart="1" format="181">
      <pivotArea type="data" outline="0" fieldPosition="0">
        <references count="3">
          <reference field="4294967294" count="1" selected="0">
            <x v="0"/>
          </reference>
          <reference field="2" count="1" selected="0">
            <x v="9"/>
          </reference>
          <reference field="3" count="1" selected="0">
            <x v="10"/>
          </reference>
        </references>
      </pivotArea>
    </chartFormat>
    <chartFormat chart="1" format="182">
      <pivotArea type="data" outline="0" fieldPosition="0">
        <references count="3">
          <reference field="4294967294" count="1" selected="0">
            <x v="0"/>
          </reference>
          <reference field="2" count="1" selected="0">
            <x v="10"/>
          </reference>
          <reference field="3" count="1" selected="0">
            <x v="10"/>
          </reference>
        </references>
      </pivotArea>
    </chartFormat>
    <chartFormat chart="1" format="183">
      <pivotArea type="data" outline="0" fieldPosition="0">
        <references count="3">
          <reference field="4294967294" count="1" selected="0">
            <x v="0"/>
          </reference>
          <reference field="2" count="1" selected="0">
            <x v="11"/>
          </reference>
          <reference field="3" count="1" selected="0">
            <x v="10"/>
          </reference>
        </references>
      </pivotArea>
    </chartFormat>
    <chartFormat chart="1" format="184">
      <pivotArea type="data" outline="0" fieldPosition="0">
        <references count="3">
          <reference field="4294967294" count="1" selected="0">
            <x v="0"/>
          </reference>
          <reference field="2" count="1" selected="0">
            <x v="12"/>
          </reference>
          <reference field="3" count="1" selected="0">
            <x v="10"/>
          </reference>
        </references>
      </pivotArea>
    </chartFormat>
    <chartFormat chart="1" format="185">
      <pivotArea type="data" outline="0" fieldPosition="0">
        <references count="3">
          <reference field="4294967294" count="1" selected="0">
            <x v="0"/>
          </reference>
          <reference field="2" count="1" selected="0">
            <x v="13"/>
          </reference>
          <reference field="3" count="1" selected="0">
            <x v="10"/>
          </reference>
        </references>
      </pivotArea>
    </chartFormat>
    <chartFormat chart="1" format="186">
      <pivotArea type="data" outline="0" fieldPosition="0">
        <references count="3">
          <reference field="4294967294" count="1" selected="0">
            <x v="0"/>
          </reference>
          <reference field="2" count="1" selected="0">
            <x v="14"/>
          </reference>
          <reference field="3" count="1" selected="0">
            <x v="10"/>
          </reference>
        </references>
      </pivotArea>
    </chartFormat>
    <chartFormat chart="1" format="187">
      <pivotArea type="data" outline="0" fieldPosition="0">
        <references count="3">
          <reference field="4294967294" count="1" selected="0">
            <x v="0"/>
          </reference>
          <reference field="2" count="1" selected="0">
            <x v="15"/>
          </reference>
          <reference field="3" count="1" selected="0">
            <x v="10"/>
          </reference>
        </references>
      </pivotArea>
    </chartFormat>
    <chartFormat chart="1" format="188">
      <pivotArea type="data" outline="0" fieldPosition="0">
        <references count="3">
          <reference field="4294967294" count="1" selected="0">
            <x v="0"/>
          </reference>
          <reference field="2" count="1" selected="0">
            <x v="0"/>
          </reference>
          <reference field="3" count="1" selected="0">
            <x v="11"/>
          </reference>
        </references>
      </pivotArea>
    </chartFormat>
    <chartFormat chart="1" format="189">
      <pivotArea type="data" outline="0" fieldPosition="0">
        <references count="3">
          <reference field="4294967294" count="1" selected="0">
            <x v="0"/>
          </reference>
          <reference field="2" count="1" selected="0">
            <x v="1"/>
          </reference>
          <reference field="3" count="1" selected="0">
            <x v="11"/>
          </reference>
        </references>
      </pivotArea>
    </chartFormat>
    <chartFormat chart="1" format="190">
      <pivotArea type="data" outline="0" fieldPosition="0">
        <references count="3">
          <reference field="4294967294" count="1" selected="0">
            <x v="0"/>
          </reference>
          <reference field="2" count="1" selected="0">
            <x v="2"/>
          </reference>
          <reference field="3" count="1" selected="0">
            <x v="11"/>
          </reference>
        </references>
      </pivotArea>
    </chartFormat>
    <chartFormat chart="1" format="191">
      <pivotArea type="data" outline="0" fieldPosition="0">
        <references count="3">
          <reference field="4294967294" count="1" selected="0">
            <x v="0"/>
          </reference>
          <reference field="2" count="1" selected="0">
            <x v="3"/>
          </reference>
          <reference field="3" count="1" selected="0">
            <x v="11"/>
          </reference>
        </references>
      </pivotArea>
    </chartFormat>
    <chartFormat chart="1" format="192">
      <pivotArea type="data" outline="0" fieldPosition="0">
        <references count="3">
          <reference field="4294967294" count="1" selected="0">
            <x v="0"/>
          </reference>
          <reference field="2" count="1" selected="0">
            <x v="4"/>
          </reference>
          <reference field="3" count="1" selected="0">
            <x v="11"/>
          </reference>
        </references>
      </pivotArea>
    </chartFormat>
    <chartFormat chart="1" format="193">
      <pivotArea type="data" outline="0" fieldPosition="0">
        <references count="3">
          <reference field="4294967294" count="1" selected="0">
            <x v="0"/>
          </reference>
          <reference field="2" count="1" selected="0">
            <x v="5"/>
          </reference>
          <reference field="3" count="1" selected="0">
            <x v="11"/>
          </reference>
        </references>
      </pivotArea>
    </chartFormat>
    <chartFormat chart="1" format="194">
      <pivotArea type="data" outline="0" fieldPosition="0">
        <references count="3">
          <reference field="4294967294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  <chartFormat chart="1" format="195">
      <pivotArea type="data" outline="0" fieldPosition="0">
        <references count="3">
          <reference field="4294967294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1" format="196">
      <pivotArea type="data" outline="0" fieldPosition="0">
        <references count="3">
          <reference field="4294967294" count="1" selected="0">
            <x v="0"/>
          </reference>
          <reference field="2" count="1" selected="0">
            <x v="8"/>
          </reference>
          <reference field="3" count="1" selected="0">
            <x v="11"/>
          </reference>
        </references>
      </pivotArea>
    </chartFormat>
    <chartFormat chart="1" format="197">
      <pivotArea type="data" outline="0" fieldPosition="0">
        <references count="3">
          <reference field="4294967294" count="1" selected="0">
            <x v="0"/>
          </reference>
          <reference field="2" count="1" selected="0">
            <x v="9"/>
          </reference>
          <reference field="3" count="1" selected="0">
            <x v="11"/>
          </reference>
        </references>
      </pivotArea>
    </chartFormat>
    <chartFormat chart="1" format="198">
      <pivotArea type="data" outline="0" fieldPosition="0">
        <references count="3">
          <reference field="4294967294" count="1" selected="0">
            <x v="0"/>
          </reference>
          <reference field="2" count="1" selected="0">
            <x v="10"/>
          </reference>
          <reference field="3" count="1" selected="0">
            <x v="11"/>
          </reference>
        </references>
      </pivotArea>
    </chartFormat>
    <chartFormat chart="1" format="199">
      <pivotArea type="data" outline="0" fieldPosition="0">
        <references count="3">
          <reference field="4294967294" count="1" selected="0">
            <x v="0"/>
          </reference>
          <reference field="2" count="1" selected="0">
            <x v="11"/>
          </reference>
          <reference field="3" count="1" selected="0">
            <x v="11"/>
          </reference>
        </references>
      </pivotArea>
    </chartFormat>
    <chartFormat chart="1" format="200">
      <pivotArea type="data" outline="0" fieldPosition="0">
        <references count="3">
          <reference field="4294967294" count="1" selected="0">
            <x v="0"/>
          </reference>
          <reference field="2" count="1" selected="0">
            <x v="12"/>
          </reference>
          <reference field="3" count="1" selected="0">
            <x v="11"/>
          </reference>
        </references>
      </pivotArea>
    </chartFormat>
    <chartFormat chart="1" format="201">
      <pivotArea type="data" outline="0" fieldPosition="0">
        <references count="3">
          <reference field="4294967294" count="1" selected="0">
            <x v="0"/>
          </reference>
          <reference field="2" count="1" selected="0">
            <x v="13"/>
          </reference>
          <reference field="3" count="1" selected="0">
            <x v="11"/>
          </reference>
        </references>
      </pivotArea>
    </chartFormat>
    <chartFormat chart="1" format="202">
      <pivotArea type="data" outline="0" fieldPosition="0">
        <references count="3">
          <reference field="4294967294" count="1" selected="0">
            <x v="0"/>
          </reference>
          <reference field="2" count="1" selected="0">
            <x v="14"/>
          </reference>
          <reference field="3" count="1" selected="0">
            <x v="11"/>
          </reference>
        </references>
      </pivotArea>
    </chartFormat>
    <chartFormat chart="1" format="203">
      <pivotArea type="data" outline="0" fieldPosition="0">
        <references count="3">
          <reference field="4294967294" count="1" selected="0">
            <x v="0"/>
          </reference>
          <reference field="2" count="1" selected="0">
            <x v="15"/>
          </reference>
          <reference field="3" count="1" selected="0">
            <x v="11"/>
          </reference>
        </references>
      </pivotArea>
    </chartFormat>
    <chartFormat chart="1" format="204">
      <pivotArea type="data" outline="0" fieldPosition="0">
        <references count="3">
          <reference field="4294967294" count="1" selected="0">
            <x v="0"/>
          </reference>
          <reference field="2" count="1" selected="0">
            <x v="16"/>
          </reference>
          <reference field="3" count="1" selected="0">
            <x v="0"/>
          </reference>
        </references>
      </pivotArea>
    </chartFormat>
    <chartFormat chart="1" format="205">
      <pivotArea type="data" outline="0" fieldPosition="0">
        <references count="3">
          <reference field="4294967294" count="1" selected="0">
            <x v="0"/>
          </reference>
          <reference field="2" count="1" selected="0">
            <x v="17"/>
          </reference>
          <reference field="3" count="1" selected="0">
            <x v="0"/>
          </reference>
        </references>
      </pivotArea>
    </chartFormat>
    <chartFormat chart="1" format="206">
      <pivotArea type="data" outline="0" fieldPosition="0">
        <references count="3">
          <reference field="4294967294" count="1" selected="0">
            <x v="0"/>
          </reference>
          <reference field="2" count="1" selected="0">
            <x v="16"/>
          </reference>
          <reference field="3" count="1" selected="0">
            <x v="1"/>
          </reference>
        </references>
      </pivotArea>
    </chartFormat>
    <chartFormat chart="1" format="207">
      <pivotArea type="data" outline="0" fieldPosition="0">
        <references count="3">
          <reference field="4294967294" count="1" selected="0">
            <x v="0"/>
          </reference>
          <reference field="2" count="1" selected="0">
            <x v="17"/>
          </reference>
          <reference field="3" count="1" selected="0">
            <x v="1"/>
          </reference>
        </references>
      </pivotArea>
    </chartFormat>
    <chartFormat chart="1" format="208">
      <pivotArea type="data" outline="0" fieldPosition="0">
        <references count="3">
          <reference field="4294967294" count="1" selected="0">
            <x v="0"/>
          </reference>
          <reference field="2" count="1" selected="0">
            <x v="16"/>
          </reference>
          <reference field="3" count="1" selected="0">
            <x v="2"/>
          </reference>
        </references>
      </pivotArea>
    </chartFormat>
    <chartFormat chart="1" format="209">
      <pivotArea type="data" outline="0" fieldPosition="0">
        <references count="3">
          <reference field="4294967294" count="1" selected="0">
            <x v="0"/>
          </reference>
          <reference field="2" count="1" selected="0">
            <x v="17"/>
          </reference>
          <reference field="3" count="1" selected="0">
            <x v="2"/>
          </reference>
        </references>
      </pivotArea>
    </chartFormat>
    <chartFormat chart="1" format="210">
      <pivotArea type="data" outline="0" fieldPosition="0">
        <references count="3">
          <reference field="4294967294" count="1" selected="0">
            <x v="0"/>
          </reference>
          <reference field="2" count="1" selected="0">
            <x v="16"/>
          </reference>
          <reference field="3" count="1" selected="0">
            <x v="3"/>
          </reference>
        </references>
      </pivotArea>
    </chartFormat>
    <chartFormat chart="1" format="211">
      <pivotArea type="data" outline="0" fieldPosition="0">
        <references count="3">
          <reference field="4294967294" count="1" selected="0">
            <x v="0"/>
          </reference>
          <reference field="2" count="1" selected="0">
            <x v="17"/>
          </reference>
          <reference field="3" count="1" selected="0">
            <x v="3"/>
          </reference>
        </references>
      </pivotArea>
    </chartFormat>
    <chartFormat chart="1" format="212">
      <pivotArea type="data" outline="0" fieldPosition="0">
        <references count="3">
          <reference field="4294967294" count="1" selected="0">
            <x v="0"/>
          </reference>
          <reference field="2" count="1" selected="0">
            <x v="16"/>
          </reference>
          <reference field="3" count="1" selected="0">
            <x v="4"/>
          </reference>
        </references>
      </pivotArea>
    </chartFormat>
    <chartFormat chart="1" format="213">
      <pivotArea type="data" outline="0" fieldPosition="0">
        <references count="3">
          <reference field="4294967294" count="1" selected="0">
            <x v="0"/>
          </reference>
          <reference field="2" count="1" selected="0">
            <x v="17"/>
          </reference>
          <reference field="3" count="1" selected="0">
            <x v="4"/>
          </reference>
        </references>
      </pivotArea>
    </chartFormat>
    <chartFormat chart="1" format="214">
      <pivotArea type="data" outline="0" fieldPosition="0">
        <references count="3">
          <reference field="4294967294" count="1" selected="0">
            <x v="0"/>
          </reference>
          <reference field="2" count="1" selected="0">
            <x v="16"/>
          </reference>
          <reference field="3" count="1" selected="0">
            <x v="5"/>
          </reference>
        </references>
      </pivotArea>
    </chartFormat>
    <chartFormat chart="1" format="215">
      <pivotArea type="data" outline="0" fieldPosition="0">
        <references count="3">
          <reference field="4294967294" count="1" selected="0">
            <x v="0"/>
          </reference>
          <reference field="2" count="1" selected="0">
            <x v="17"/>
          </reference>
          <reference field="3" count="1" selected="0">
            <x v="5"/>
          </reference>
        </references>
      </pivotArea>
    </chartFormat>
    <chartFormat chart="1" format="216">
      <pivotArea type="data" outline="0" fieldPosition="0">
        <references count="3">
          <reference field="4294967294" count="1" selected="0">
            <x v="0"/>
          </reference>
          <reference field="2" count="1" selected="0">
            <x v="16"/>
          </reference>
          <reference field="3" count="1" selected="0">
            <x v="6"/>
          </reference>
        </references>
      </pivotArea>
    </chartFormat>
    <chartFormat chart="1" format="217">
      <pivotArea type="data" outline="0" fieldPosition="0">
        <references count="3">
          <reference field="4294967294" count="1" selected="0">
            <x v="0"/>
          </reference>
          <reference field="2" count="1" selected="0">
            <x v="17"/>
          </reference>
          <reference field="3" count="1" selected="0">
            <x v="6"/>
          </reference>
        </references>
      </pivotArea>
    </chartFormat>
    <chartFormat chart="1" format="218">
      <pivotArea type="data" outline="0" fieldPosition="0">
        <references count="3">
          <reference field="4294967294" count="1" selected="0">
            <x v="0"/>
          </reference>
          <reference field="2" count="1" selected="0">
            <x v="16"/>
          </reference>
          <reference field="3" count="1" selected="0">
            <x v="7"/>
          </reference>
        </references>
      </pivotArea>
    </chartFormat>
    <chartFormat chart="1" format="219">
      <pivotArea type="data" outline="0" fieldPosition="0">
        <references count="3">
          <reference field="4294967294" count="1" selected="0">
            <x v="0"/>
          </reference>
          <reference field="2" count="1" selected="0">
            <x v="17"/>
          </reference>
          <reference field="3" count="1" selected="0">
            <x v="7"/>
          </reference>
        </references>
      </pivotArea>
    </chartFormat>
    <chartFormat chart="1" format="220">
      <pivotArea type="data" outline="0" fieldPosition="0">
        <references count="3">
          <reference field="4294967294" count="1" selected="0">
            <x v="0"/>
          </reference>
          <reference field="2" count="1" selected="0">
            <x v="16"/>
          </reference>
          <reference field="3" count="1" selected="0">
            <x v="8"/>
          </reference>
        </references>
      </pivotArea>
    </chartFormat>
    <chartFormat chart="1" format="221">
      <pivotArea type="data" outline="0" fieldPosition="0">
        <references count="3">
          <reference field="4294967294" count="1" selected="0">
            <x v="0"/>
          </reference>
          <reference field="2" count="1" selected="0">
            <x v="17"/>
          </reference>
          <reference field="3" count="1" selected="0">
            <x v="8"/>
          </reference>
        </references>
      </pivotArea>
    </chartFormat>
    <chartFormat chart="1" format="222">
      <pivotArea type="data" outline="0" fieldPosition="0">
        <references count="3">
          <reference field="4294967294" count="1" selected="0">
            <x v="0"/>
          </reference>
          <reference field="2" count="1" selected="0">
            <x v="16"/>
          </reference>
          <reference field="3" count="1" selected="0">
            <x v="9"/>
          </reference>
        </references>
      </pivotArea>
    </chartFormat>
    <chartFormat chart="1" format="223">
      <pivotArea type="data" outline="0" fieldPosition="0">
        <references count="3">
          <reference field="4294967294" count="1" selected="0">
            <x v="0"/>
          </reference>
          <reference field="2" count="1" selected="0">
            <x v="17"/>
          </reference>
          <reference field="3" count="1" selected="0">
            <x v="9"/>
          </reference>
        </references>
      </pivotArea>
    </chartFormat>
    <chartFormat chart="1" format="224">
      <pivotArea type="data" outline="0" fieldPosition="0">
        <references count="3">
          <reference field="4294967294" count="1" selected="0">
            <x v="0"/>
          </reference>
          <reference field="2" count="1" selected="0">
            <x v="16"/>
          </reference>
          <reference field="3" count="1" selected="0">
            <x v="10"/>
          </reference>
        </references>
      </pivotArea>
    </chartFormat>
    <chartFormat chart="1" format="225">
      <pivotArea type="data" outline="0" fieldPosition="0">
        <references count="3">
          <reference field="4294967294" count="1" selected="0">
            <x v="0"/>
          </reference>
          <reference field="2" count="1" selected="0">
            <x v="17"/>
          </reference>
          <reference field="3" count="1" selected="0">
            <x v="10"/>
          </reference>
        </references>
      </pivotArea>
    </chartFormat>
    <chartFormat chart="1" format="226">
      <pivotArea type="data" outline="0" fieldPosition="0">
        <references count="3">
          <reference field="4294967294" count="1" selected="0">
            <x v="0"/>
          </reference>
          <reference field="2" count="1" selected="0">
            <x v="16"/>
          </reference>
          <reference field="3" count="1" selected="0">
            <x v="11"/>
          </reference>
        </references>
      </pivotArea>
    </chartFormat>
    <chartFormat chart="1" format="227">
      <pivotArea type="data" outline="0" fieldPosition="0">
        <references count="3">
          <reference field="4294967294" count="1" selected="0">
            <x v="0"/>
          </reference>
          <reference field="2" count="1" selected="0">
            <x v="17"/>
          </reference>
          <reference field="3" count="1" selected="0">
            <x v="1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A58A729-3B71-41FA-B9B6-F1D5790FAA4F}" name="JanTotals" cacheId="11" applyNumberFormats="0" applyBorderFormats="0" applyFontFormats="0" applyPatternFormats="0" applyAlignmentFormats="0" applyWidthHeightFormats="1" dataCaption="Values" grandTotalCaption="January Net Change" updatedVersion="6" minRefreshableVersion="3" useAutoFormatting="1" itemPrintTitles="1" createdVersion="6" indent="0" outline="1" outlineData="1" multipleFieldFilters="0" chartFormat="6" rowHeaderCaption="Category">
  <location ref="F1:G3" firstHeaderRow="1" firstDataRow="1" firstDataCol="1"/>
  <pivotFields count="4">
    <pivotField numFmtId="14" showAll="0"/>
    <pivotField dataField="1" numFmtId="164" showAll="0"/>
    <pivotField axis="axisRow" showAll="0">
      <items count="14">
        <item m="1" x="2"/>
        <item m="1" x="5"/>
        <item m="1" x="3"/>
        <item m="1" x="4"/>
        <item m="1" x="12"/>
        <item m="1" x="7"/>
        <item m="1" x="6"/>
        <item m="1" x="8"/>
        <item m="1" x="11"/>
        <item x="0"/>
        <item m="1" x="9"/>
        <item m="1" x="10"/>
        <item m="1" x="1"/>
        <item t="default"/>
      </items>
    </pivotField>
    <pivotField showAll="0"/>
  </pivotFields>
  <rowFields count="1">
    <field x="2"/>
  </rowFields>
  <rowItems count="2">
    <i>
      <x v="9"/>
    </i>
    <i t="grand">
      <x/>
    </i>
  </rowItems>
  <colItems count="1">
    <i/>
  </colItems>
  <dataFields count="1">
    <dataField name="Total" fld="1" baseField="0" baseItem="0"/>
  </dataFields>
  <chartFormats count="11"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5" format="2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5" format="3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5" format="4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5" format="5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5" format="6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5" format="7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5" format="8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5" format="9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5" format="10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1751A5F-5223-4CAB-8402-6909A69814E2}" name="FebTotals" cacheId="10" applyNumberFormats="0" applyBorderFormats="0" applyFontFormats="0" applyPatternFormats="0" applyAlignmentFormats="0" applyWidthHeightFormats="1" dataCaption="Values" grandTotalCaption="February Net Change" updatedVersion="6" minRefreshableVersion="3" useAutoFormatting="1" itemPrintTitles="1" createdVersion="6" indent="0" outline="1" outlineData="1" multipleFieldFilters="0" chartFormat="6" rowHeaderCaption="Category">
  <location ref="F1:G3" firstHeaderRow="1" firstDataRow="1" firstDataCol="1"/>
  <pivotFields count="4">
    <pivotField numFmtId="14" showAll="0"/>
    <pivotField dataField="1" numFmtId="164" showAll="0"/>
    <pivotField axis="axisRow" showAll="0">
      <items count="15">
        <item m="1" x="10"/>
        <item m="1" x="4"/>
        <item m="1" x="2"/>
        <item m="1" x="3"/>
        <item m="1" x="13"/>
        <item m="1" x="6"/>
        <item m="1" x="5"/>
        <item m="1" x="7"/>
        <item m="1" x="12"/>
        <item m="1" x="8"/>
        <item m="1" x="11"/>
        <item x="0"/>
        <item m="1" x="9"/>
        <item m="1" x="1"/>
        <item t="default"/>
      </items>
    </pivotField>
    <pivotField showAll="0"/>
  </pivotFields>
  <rowFields count="1">
    <field x="2"/>
  </rowFields>
  <rowItems count="2">
    <i>
      <x v="11"/>
    </i>
    <i t="grand">
      <x/>
    </i>
  </rowItems>
  <colItems count="1">
    <i/>
  </colItems>
  <dataFields count="1">
    <dataField name="Totals" fld="1" baseField="0" baseItem="0"/>
  </dataFields>
  <chartFormats count="14"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5" format="2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5" format="3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5" format="4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5" format="5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5" format="6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5" format="7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5" format="8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5" format="9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5" format="10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5" format="1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5" format="12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5" format="13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ECB10A-F7C6-4800-AB46-EDBA499C0405}" name="MarTotals" cacheId="12" applyNumberFormats="0" applyBorderFormats="0" applyFontFormats="0" applyPatternFormats="0" applyAlignmentFormats="0" applyWidthHeightFormats="1" dataCaption="Values" grandTotalCaption="March Net Change" updatedVersion="6" minRefreshableVersion="3" useAutoFormatting="1" itemPrintTitles="1" createdVersion="6" indent="0" outline="1" outlineData="1" multipleFieldFilters="0" chartFormat="4" rowHeaderCaption="Category">
  <location ref="F1:G3" firstHeaderRow="1" firstDataRow="1" firstDataCol="1"/>
  <pivotFields count="4">
    <pivotField numFmtId="14" showAll="0"/>
    <pivotField dataField="1" numFmtId="164" showAll="0"/>
    <pivotField axis="axisRow" showAll="0">
      <items count="15">
        <item m="1" x="12"/>
        <item m="1" x="3"/>
        <item m="1" x="9"/>
        <item m="1" x="6"/>
        <item m="1" x="4"/>
        <item m="1" x="5"/>
        <item m="1" x="13"/>
        <item m="1" x="8"/>
        <item m="1" x="7"/>
        <item m="1" x="10"/>
        <item x="0"/>
        <item m="1" x="11"/>
        <item m="1" x="2"/>
        <item m="1" x="1"/>
        <item t="default"/>
      </items>
    </pivotField>
    <pivotField showAll="0"/>
  </pivotFields>
  <rowFields count="1">
    <field x="2"/>
  </rowFields>
  <rowItems count="2">
    <i>
      <x v="10"/>
    </i>
    <i t="grand">
      <x/>
    </i>
  </rowItems>
  <colItems count="1">
    <i/>
  </colItems>
  <dataFields count="1">
    <dataField name="Totals" fld="1" baseField="0" baseItem="0"/>
  </dataFields>
  <chartFormats count="12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3" format="2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3" format="3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3" format="4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3" format="5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3" format="6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3" format="7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3" format="8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3" format="9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3" format="10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3" format="1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02B61E-A9D8-4619-AAB6-BDB0AF333547}" name="AprTotals" cacheId="1" applyNumberFormats="0" applyBorderFormats="0" applyFontFormats="0" applyPatternFormats="0" applyAlignmentFormats="0" applyWidthHeightFormats="1" dataCaption="Values" grandTotalCaption="April Net Change" updatedVersion="6" minRefreshableVersion="3" useAutoFormatting="1" itemPrintTitles="1" createdVersion="6" indent="0" outline="1" outlineData="1" multipleFieldFilters="0" chartFormat="3" rowHeaderCaption="Category">
  <location ref="F1:G3" firstHeaderRow="1" firstDataRow="1" firstDataCol="1"/>
  <pivotFields count="4">
    <pivotField numFmtId="14" showAll="0"/>
    <pivotField dataField="1" numFmtId="164" showAll="0"/>
    <pivotField axis="axisRow" showAll="0">
      <items count="12">
        <item m="1" x="4"/>
        <item m="1" x="2"/>
        <item m="1" x="3"/>
        <item m="1" x="10"/>
        <item m="1" x="6"/>
        <item m="1" x="5"/>
        <item m="1" x="7"/>
        <item x="0"/>
        <item m="1" x="8"/>
        <item m="1" x="9"/>
        <item m="1" x="1"/>
        <item t="default"/>
      </items>
    </pivotField>
    <pivotField showAll="0"/>
  </pivotFields>
  <rowFields count="1">
    <field x="2"/>
  </rowFields>
  <rowItems count="2">
    <i>
      <x v="7"/>
    </i>
    <i t="grand">
      <x/>
    </i>
  </rowItems>
  <colItems count="1">
    <i/>
  </colItems>
  <dataFields count="1">
    <dataField name="Totals" fld="1" baseField="0" baseItem="0"/>
  </dataFields>
  <chartFormats count="9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2" format="2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2" format="3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2" format="4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2" format="5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2" format="6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2" format="7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2" format="8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80D96C-5B38-4407-B13A-1CF07615260B}" name="MayTotals" cacheId="2" applyNumberFormats="0" applyBorderFormats="0" applyFontFormats="0" applyPatternFormats="0" applyAlignmentFormats="0" applyWidthHeightFormats="1" dataCaption="Values" grandTotalCaption="May Net Change" updatedVersion="6" minRefreshableVersion="3" useAutoFormatting="1" itemPrintTitles="1" createdVersion="6" indent="0" outline="1" outlineData="1" multipleFieldFilters="0" chartFormat="2" rowHeaderCaption="Category">
  <location ref="F1:G3" firstHeaderRow="1" firstDataRow="1" firstDataCol="1"/>
  <pivotFields count="4">
    <pivotField numFmtId="14" showAll="0"/>
    <pivotField dataField="1" numFmtId="164" showAll="0"/>
    <pivotField axis="axisRow" showAll="0">
      <items count="15">
        <item m="1" x="13"/>
        <item m="1" x="2"/>
        <item m="1" x="9"/>
        <item m="1" x="6"/>
        <item m="1" x="3"/>
        <item m="1" x="5"/>
        <item m="1" x="8"/>
        <item m="1" x="7"/>
        <item m="1" x="10"/>
        <item m="1" x="11"/>
        <item x="0"/>
        <item m="1" x="12"/>
        <item m="1" x="4"/>
        <item m="1" x="1"/>
        <item t="default"/>
      </items>
    </pivotField>
    <pivotField showAll="0"/>
  </pivotFields>
  <rowFields count="1">
    <field x="2"/>
  </rowFields>
  <rowItems count="2">
    <i>
      <x v="10"/>
    </i>
    <i t="grand">
      <x/>
    </i>
  </rowItems>
  <colItems count="1">
    <i/>
  </colItems>
  <dataFields count="1">
    <dataField name="Totals" fld="1" baseField="0" baseItem="0"/>
  </dataFields>
  <chartFormats count="12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" format="2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" format="3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" format="4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" format="5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" format="6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" format="7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" format="8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" format="9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" format="10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" format="1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431F33-A188-4626-9F1F-49B25AFAA1B5}" name="JunTotals" cacheId="3" applyNumberFormats="0" applyBorderFormats="0" applyFontFormats="0" applyPatternFormats="0" applyAlignmentFormats="0" applyWidthHeightFormats="1" dataCaption="Values" grandTotalCaption="June Net Change" updatedVersion="6" minRefreshableVersion="3" useAutoFormatting="1" itemPrintTitles="1" createdVersion="6" indent="0" outline="1" outlineData="1" multipleFieldFilters="0" chartFormat="3" rowHeaderCaption="Category">
  <location ref="F1:G3" firstHeaderRow="1" firstDataRow="1" firstDataCol="1"/>
  <pivotFields count="4">
    <pivotField showAll="0"/>
    <pivotField dataField="1" numFmtId="164" showAll="0"/>
    <pivotField axis="axisRow" showAll="0">
      <items count="6">
        <item m="1" x="1"/>
        <item m="1" x="3"/>
        <item m="1" x="2"/>
        <item x="0"/>
        <item m="1" x="4"/>
        <item t="default"/>
      </items>
    </pivotField>
    <pivotField showAll="0"/>
  </pivotFields>
  <rowFields count="1">
    <field x="2"/>
  </rowFields>
  <rowItems count="2">
    <i>
      <x v="3"/>
    </i>
    <i t="grand">
      <x/>
    </i>
  </rowItems>
  <colItems count="1">
    <i/>
  </colItems>
  <dataFields count="1">
    <dataField name="Totals" fld="1" baseField="0" baseItem="0"/>
  </dataFields>
  <chartFormats count="5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2" format="2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2" format="3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2" format="4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78EC386-AADA-44E5-95AB-9C8C73B445BC}" name="JulTotals" cacheId="4" applyNumberFormats="0" applyBorderFormats="0" applyFontFormats="0" applyPatternFormats="0" applyAlignmentFormats="0" applyWidthHeightFormats="1" dataCaption="Values" grandTotalCaption="July Net Change" updatedVersion="6" minRefreshableVersion="3" useAutoFormatting="1" itemPrintTitles="1" createdVersion="6" indent="0" outline="1" outlineData="1" multipleFieldFilters="0" chartFormat="3" rowHeaderCaption="Category">
  <location ref="F1:G3" firstHeaderRow="1" firstDataRow="1" firstDataCol="1"/>
  <pivotFields count="4">
    <pivotField numFmtId="14" showAll="0"/>
    <pivotField dataField="1" numFmtId="164" showAll="0"/>
    <pivotField axis="axisRow" showAll="0">
      <items count="7">
        <item m="1" x="1"/>
        <item m="1" x="3"/>
        <item m="1" x="2"/>
        <item m="1" x="4"/>
        <item x="0"/>
        <item m="1" x="5"/>
        <item t="default"/>
      </items>
    </pivotField>
    <pivotField showAll="0"/>
  </pivotFields>
  <rowFields count="1">
    <field x="2"/>
  </rowFields>
  <rowItems count="2">
    <i>
      <x v="4"/>
    </i>
    <i t="grand">
      <x/>
    </i>
  </rowItems>
  <colItems count="1">
    <i/>
  </colItems>
  <dataFields count="1">
    <dataField name="Totals" fld="1" baseField="0" baseItem="0"/>
  </dataFields>
  <chartFormats count="6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2" format="2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2" format="3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2" format="4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2" format="5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37BCC2E-8091-48AE-8812-62AE0396DF3E}" name="AugTotals" cacheId="5" applyNumberFormats="0" applyBorderFormats="0" applyFontFormats="0" applyPatternFormats="0" applyAlignmentFormats="0" applyWidthHeightFormats="1" dataCaption="Values" grandTotalCaption="August Net Change" updatedVersion="6" minRefreshableVersion="3" useAutoFormatting="1" itemPrintTitles="1" createdVersion="6" indent="0" outline="1" outlineData="1" multipleFieldFilters="0" chartFormat="3" rowHeaderCaption="Category">
  <location ref="F1:G3" firstHeaderRow="1" firstDataRow="1" firstDataCol="1"/>
  <pivotFields count="4">
    <pivotField numFmtId="14" showAll="0"/>
    <pivotField dataField="1" numFmtId="164" showAll="0"/>
    <pivotField axis="axisRow" showAll="0">
      <items count="7">
        <item m="1" x="1"/>
        <item m="1" x="4"/>
        <item m="1" x="2"/>
        <item x="0"/>
        <item m="1" x="5"/>
        <item m="1" x="3"/>
        <item t="default"/>
      </items>
    </pivotField>
    <pivotField showAll="0"/>
  </pivotFields>
  <rowFields count="1">
    <field x="2"/>
  </rowFields>
  <rowItems count="2">
    <i>
      <x v="3"/>
    </i>
    <i t="grand">
      <x/>
    </i>
  </rowItems>
  <colItems count="1">
    <i/>
  </colItems>
  <dataFields count="1">
    <dataField name="Totals" fld="1" baseField="0" baseItem="0"/>
  </dataFields>
  <chartFormats count="5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2" format="2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2" format="3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2" format="4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4F4BCBF-6241-4EC2-BDCD-57F21AA416B1}" name="SepTotals" cacheId="6" applyNumberFormats="0" applyBorderFormats="0" applyFontFormats="0" applyPatternFormats="0" applyAlignmentFormats="0" applyWidthHeightFormats="1" dataCaption="Values" grandTotalCaption="September Net Change" updatedVersion="6" minRefreshableVersion="3" useAutoFormatting="1" itemPrintTitles="1" createdVersion="6" indent="0" outline="1" outlineData="1" multipleFieldFilters="0" chartFormat="3" rowHeaderCaption="Category">
  <location ref="F1:G3" firstHeaderRow="1" firstDataRow="1" firstDataCol="1"/>
  <pivotFields count="4">
    <pivotField numFmtId="14" showAll="0"/>
    <pivotField dataField="1" numFmtId="164" showAll="0"/>
    <pivotField axis="axisRow" showAll="0">
      <items count="12">
        <item m="1" x="3"/>
        <item m="1" x="2"/>
        <item x="0"/>
        <item m="1" x="8"/>
        <item m="1" x="5"/>
        <item m="1" x="10"/>
        <item m="1" x="9"/>
        <item m="1" x="6"/>
        <item m="1" x="7"/>
        <item m="1" x="4"/>
        <item m="1" x="1"/>
        <item t="default"/>
      </items>
    </pivotField>
    <pivotField showAll="0"/>
  </pivotFields>
  <rowFields count="1">
    <field x="2"/>
  </rowFields>
  <rowItems count="2">
    <i>
      <x v="2"/>
    </i>
    <i t="grand">
      <x/>
    </i>
  </rowItems>
  <colItems count="1">
    <i/>
  </colItems>
  <dataFields count="1">
    <dataField name="Totals" fld="1" baseField="0" baseItem="0"/>
  </dataFields>
  <chartFormats count="11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2" format="2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2" format="3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2" format="4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2" format="5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2" format="6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2" format="7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2" format="8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2" format="9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2" format="10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FB06CF9-185A-4A2F-80B4-EEFC50BCA7F9}" name="OctTotals" cacheId="7" applyNumberFormats="0" applyBorderFormats="0" applyFontFormats="0" applyPatternFormats="0" applyAlignmentFormats="0" applyWidthHeightFormats="1" dataCaption="Values" grandTotalCaption="October Net Change" updatedVersion="6" minRefreshableVersion="3" useAutoFormatting="1" itemPrintTitles="1" createdVersion="6" indent="0" outline="1" outlineData="1" multipleFieldFilters="0" chartFormat="3" rowHeaderCaption="Category">
  <location ref="F1:G3" firstHeaderRow="1" firstDataRow="1" firstDataCol="1"/>
  <pivotFields count="4">
    <pivotField numFmtId="14" showAll="0"/>
    <pivotField dataField="1" numFmtId="164" showAll="0"/>
    <pivotField axis="axisRow" showAll="0">
      <items count="7">
        <item m="1" x="3"/>
        <item m="1" x="1"/>
        <item m="1" x="4"/>
        <item m="1" x="2"/>
        <item x="0"/>
        <item m="1" x="5"/>
        <item t="default"/>
      </items>
    </pivotField>
    <pivotField showAll="0"/>
  </pivotFields>
  <rowFields count="1">
    <field x="2"/>
  </rowFields>
  <rowItems count="2">
    <i>
      <x v="4"/>
    </i>
    <i t="grand">
      <x/>
    </i>
  </rowItems>
  <colItems count="1">
    <i/>
  </colItems>
  <dataFields count="1">
    <dataField name="Totals" fld="1" baseField="0" baseItem="0"/>
  </dataFields>
  <chartFormats count="6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2" format="2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2" format="3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2" format="4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2" format="5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A34DB5A-D375-4F31-8147-75F4482CC93D}" name="NovTotals" cacheId="8" applyNumberFormats="0" applyBorderFormats="0" applyFontFormats="0" applyPatternFormats="0" applyAlignmentFormats="0" applyWidthHeightFormats="1" dataCaption="Values" grandTotalCaption="November Net Change" updatedVersion="6" minRefreshableVersion="3" useAutoFormatting="1" itemPrintTitles="1" createdVersion="6" indent="0" outline="1" outlineData="1" multipleFieldFilters="0" chartFormat="3" rowHeaderCaption="Category">
  <location ref="F1:G3" firstHeaderRow="1" firstDataRow="1" firstDataCol="1"/>
  <pivotFields count="4">
    <pivotField numFmtId="14" showAll="0"/>
    <pivotField dataField="1" numFmtId="164" showAll="0"/>
    <pivotField axis="axisRow" showAll="0">
      <items count="5">
        <item m="1" x="2"/>
        <item m="1" x="1"/>
        <item x="0"/>
        <item m="1" x="3"/>
        <item t="default"/>
      </items>
    </pivotField>
    <pivotField showAll="0"/>
  </pivotFields>
  <rowFields count="1">
    <field x="2"/>
  </rowFields>
  <rowItems count="2">
    <i>
      <x v="2"/>
    </i>
    <i t="grand">
      <x/>
    </i>
  </rowItems>
  <colItems count="1">
    <i/>
  </colItems>
  <dataFields count="1">
    <dataField name="Totals" fld="1" baseField="0" baseItem="0"/>
  </dataFields>
  <chartFormats count="4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2" format="2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2" format="3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C65F3F-0724-4C2C-B5BB-D9268C853A68}" name="DecTotals" cacheId="9" applyNumberFormats="0" applyBorderFormats="0" applyFontFormats="0" applyPatternFormats="0" applyAlignmentFormats="0" applyWidthHeightFormats="1" dataCaption="Values" grandTotalCaption="December Net Change" updatedVersion="6" minRefreshableVersion="3" useAutoFormatting="1" itemPrintTitles="1" createdVersion="6" indent="0" outline="1" outlineData="1" multipleFieldFilters="0" chartFormat="2" rowHeaderCaption="Category">
  <location ref="F1:G3" firstHeaderRow="1" firstDataRow="1" firstDataCol="1"/>
  <pivotFields count="4">
    <pivotField numFmtId="14" showAll="0"/>
    <pivotField dataField="1" numFmtId="164" showAll="0"/>
    <pivotField axis="axisRow" showAll="0">
      <items count="5">
        <item m="1" x="2"/>
        <item m="1" x="1"/>
        <item x="0"/>
        <item m="1" x="3"/>
        <item t="default"/>
      </items>
    </pivotField>
    <pivotField showAll="0"/>
  </pivotFields>
  <rowFields count="1">
    <field x="2"/>
  </rowFields>
  <rowItems count="2">
    <i>
      <x v="2"/>
    </i>
    <i t="grand">
      <x/>
    </i>
  </rowItems>
  <colItems count="1">
    <i/>
  </colItems>
  <dataFields count="1">
    <dataField name="Totals" fld="1" baseField="0" baseItem="0"/>
  </dataFields>
  <chartFormats count="4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" format="2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" format="3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1FB679E-31D3-47BC-8BEB-34FB4A51DC2C}" name="JanTransactions" displayName="JanTransactions" ref="A1:D3" insertRow="1" totalsRowCount="1" headerRowDxfId="117" dataDxfId="116">
  <autoFilter ref="A1:D2" xr:uid="{0132ACF1-6648-47DD-A64F-BEC4E6C7BCDD}"/>
  <tableColumns count="4">
    <tableColumn id="1" xr3:uid="{4C0149EB-CA6C-42CC-AC60-C9E7013E9DA9}" name="Date" totalsRowLabel="TOTAL" dataDxfId="115"/>
    <tableColumn id="2" xr3:uid="{35D0AB60-82E5-4A97-80FC-CB97B049E663}" name="Amount" totalsRowFunction="sum" dataDxfId="114" totalsRowDxfId="113"/>
    <tableColumn id="3" xr3:uid="{77714811-7E8B-4F07-B12D-BCFEB3941CC5}" name="Category" totalsRowFunction="count" dataDxfId="112" totalsRowDxfId="111"/>
    <tableColumn id="4" xr3:uid="{1401397C-3E4C-4C45-8407-250F9F1F7CAA}" name="Description" totalsRowFunction="count" dataDxfId="110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719213F-4CBD-4307-9000-54835DEF7E2B}" name="FebTransactions" displayName="FebTransactions" ref="A1:D3" insertRow="1" totalsRowCount="1" headerRowDxfId="107" dataDxfId="106">
  <autoFilter ref="A1:D2" xr:uid="{0132ACF1-6648-47DD-A64F-BEC4E6C7BCDD}"/>
  <tableColumns count="4">
    <tableColumn id="1" xr3:uid="{7DA1DEA4-E750-411D-A7D7-5776AF4C23DA}" name="Date" totalsRowLabel="Total" dataDxfId="105"/>
    <tableColumn id="2" xr3:uid="{6CC4DF77-6DB8-4279-8221-EBE3B7F9901F}" name="Amount" totalsRowFunction="sum" dataDxfId="104" totalsRowDxfId="103"/>
    <tableColumn id="3" xr3:uid="{AD26A9AE-DF6B-4CC1-A428-E614E4B9046C}" name="Category" totalsRowFunction="count" dataDxfId="102" totalsRowDxfId="101"/>
    <tableColumn id="4" xr3:uid="{FE1C62E3-9430-43CF-8610-6341C81D1A58}" name="Description" totalsRowFunction="count" dataDxfId="100"/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239E80A-A01F-48AF-B75E-719DCB872C9F}" name="MarTransactions" displayName="MarTransactions" ref="A1:D3" insertRow="1" totalsRowCount="1" headerRowDxfId="97" dataDxfId="96">
  <autoFilter ref="A1:D2" xr:uid="{0132ACF1-6648-47DD-A64F-BEC4E6C7BCDD}"/>
  <tableColumns count="4">
    <tableColumn id="1" xr3:uid="{433F8CD6-64C1-4809-88F5-63495CF24F09}" name="Date" totalsRowLabel="Total" dataDxfId="95"/>
    <tableColumn id="2" xr3:uid="{13B3EDCC-88F2-4845-87CC-54E9E872C2AA}" name="Amount" totalsRowFunction="sum" dataDxfId="94" totalsRowDxfId="93"/>
    <tableColumn id="3" xr3:uid="{E36728F7-C1A1-4601-AE5A-F1C1E5758A8B}" name="Category" totalsRowFunction="count" dataDxfId="92" totalsRowDxfId="91"/>
    <tableColumn id="4" xr3:uid="{20490C9F-A721-4599-9518-1D4AEA39B79A}" name="Description" totalsRowFunction="count" dataDxfId="90"/>
  </tableColumns>
  <tableStyleInfo name="TableStyleLight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6E83557-7708-47B5-8CEF-0538092BC8A2}" name="AprTransactions" displayName="AprTransactions" ref="A1:D3" insertRow="1" totalsRowCount="1" headerRowDxfId="87" dataDxfId="86">
  <autoFilter ref="A1:D2" xr:uid="{0132ACF1-6648-47DD-A64F-BEC4E6C7BCDD}"/>
  <tableColumns count="4">
    <tableColumn id="1" xr3:uid="{EEEBFC50-6D0F-4854-996E-C938DD7FC369}" name="Date" totalsRowLabel="Total" dataDxfId="85"/>
    <tableColumn id="2" xr3:uid="{0F673A09-C35A-473E-A00C-C47B50B06AA6}" name="Amount" totalsRowFunction="sum" dataDxfId="84" totalsRowDxfId="83"/>
    <tableColumn id="3" xr3:uid="{BF3F630F-4E3D-4722-AE4B-A5A8C0DA1301}" name="Category" totalsRowFunction="count" dataDxfId="82" totalsRowDxfId="81"/>
    <tableColumn id="4" xr3:uid="{631DD8BC-BEA6-437D-A625-83F272D9A915}" name="Description" totalsRowFunction="count" dataDxfId="80"/>
  </tableColumns>
  <tableStyleInfo name="TableStyleLight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6262377-99A9-465E-BF44-B498C8058079}" name="MayTransactions" displayName="MayTransactions" ref="A1:D3" insertRow="1" totalsRowCount="1" headerRowDxfId="77" dataDxfId="76">
  <autoFilter ref="A1:D2" xr:uid="{0132ACF1-6648-47DD-A64F-BEC4E6C7BCDD}"/>
  <tableColumns count="4">
    <tableColumn id="1" xr3:uid="{0B7AD9F1-39BE-4B5B-8335-8615440E098A}" name="Date" totalsRowLabel="Total" dataDxfId="75"/>
    <tableColumn id="2" xr3:uid="{AE5E7464-5D36-49A0-8941-005D7BDCB584}" name="Amount" totalsRowFunction="sum" dataDxfId="74" totalsRowDxfId="73"/>
    <tableColumn id="3" xr3:uid="{A19CA140-1A7B-48FB-A295-95948295A999}" name="Category" totalsRowFunction="count" dataDxfId="72" totalsRowDxfId="71"/>
    <tableColumn id="4" xr3:uid="{ACC2A433-715C-4B67-B2DD-053E72CB3A03}" name="Description" totalsRowFunction="count" dataDxfId="70"/>
  </tableColumns>
  <tableStyleInfo name="TableStyleLight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410EA5A-D69B-40DB-9F30-56DE260FB6A7}" name="JunTransactions" displayName="JunTransactions" ref="A1:D3" insertRow="1" totalsRowCount="1" headerRowDxfId="67" dataDxfId="66">
  <autoFilter ref="A1:D2" xr:uid="{0132ACF1-6648-47DD-A64F-BEC4E6C7BCDD}"/>
  <tableColumns count="4">
    <tableColumn id="1" xr3:uid="{727BB112-F0D4-4781-BC26-4D9625ECF91D}" name="Date" totalsRowLabel="Total" dataDxfId="65"/>
    <tableColumn id="2" xr3:uid="{ED3B750F-0F72-4A5E-A950-95B1945A6E08}" name="Amount" totalsRowFunction="sum" dataDxfId="64" totalsRowDxfId="63"/>
    <tableColumn id="3" xr3:uid="{E3E0A5F2-8D7F-4B5B-BE08-4FB29BD8A3C3}" name="Category" totalsRowFunction="count" dataDxfId="62" totalsRowDxfId="61"/>
    <tableColumn id="4" xr3:uid="{71CBF5A7-55EF-432E-9DC4-C3C18A623699}" name="Description" totalsRowFunction="count" dataDxfId="60"/>
  </tableColumns>
  <tableStyleInfo name="TableStyleLight16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623B85D-5465-4CC6-BE98-D0CB72B9BDA0}" name="JulTransactions" displayName="JulTransactions" ref="A1:D3" insertRow="1" totalsRowCount="1" headerRowDxfId="57" dataDxfId="56">
  <autoFilter ref="A1:D2" xr:uid="{0132ACF1-6648-47DD-A64F-BEC4E6C7BCDD}"/>
  <tableColumns count="4">
    <tableColumn id="1" xr3:uid="{F69DBC73-C58D-47B0-BF35-C15D8550789A}" name="Date" totalsRowLabel="Total" dataDxfId="55"/>
    <tableColumn id="2" xr3:uid="{95C7D945-F004-4AEC-964A-4692FB0A5381}" name="Amount" totalsRowFunction="sum" dataDxfId="54" totalsRowDxfId="53"/>
    <tableColumn id="3" xr3:uid="{A692E83F-FAC3-4074-A23C-D5D1B2A0FB13}" name="Category" totalsRowFunction="count" dataDxfId="52" totalsRowDxfId="51"/>
    <tableColumn id="4" xr3:uid="{70CE6A02-A342-46B7-ACFB-458C7300197D}" name="Description" totalsRowFunction="count" dataDxfId="50"/>
  </tableColumns>
  <tableStyleInfo name="TableStyleLight16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561E06C-645F-40F5-9436-636B83C308F9}" name="AugTransactions" displayName="AugTransactions" ref="A1:D3" insertRow="1" totalsRowCount="1" headerRowDxfId="47" dataDxfId="46">
  <autoFilter ref="A1:D2" xr:uid="{0132ACF1-6648-47DD-A64F-BEC4E6C7BCDD}"/>
  <tableColumns count="4">
    <tableColumn id="1" xr3:uid="{F73C4C50-3DED-4EA6-830A-D9A0067543EA}" name="Date" totalsRowLabel="Total" dataDxfId="45"/>
    <tableColumn id="2" xr3:uid="{4413C939-3817-4CD5-9516-12B4D1E4EC15}" name="Amount" totalsRowFunction="sum" dataDxfId="44" totalsRowDxfId="43"/>
    <tableColumn id="3" xr3:uid="{7544D208-5D6D-49B6-8903-1A2178A5B928}" name="Category" totalsRowFunction="count" dataDxfId="42" totalsRowDxfId="41"/>
    <tableColumn id="4" xr3:uid="{D531196F-F694-4952-99C8-FC76EFEBC5F8}" name="Description" totalsRowFunction="count" dataDxfId="40"/>
  </tableColumns>
  <tableStyleInfo name="TableStyleLight16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EF8BD45-4164-4025-996E-5D096B5CE05A}" name="SepTransactions" displayName="SepTransactions" ref="A1:D3" insertRow="1" totalsRowCount="1" headerRowDxfId="37" dataDxfId="36">
  <autoFilter ref="A1:D2" xr:uid="{0132ACF1-6648-47DD-A64F-BEC4E6C7BCDD}"/>
  <tableColumns count="4">
    <tableColumn id="1" xr3:uid="{2257B7FE-2EE2-485D-B28C-86602C8EF309}" name="Date" totalsRowLabel="Total" dataDxfId="35"/>
    <tableColumn id="2" xr3:uid="{E93DBBF4-E651-468C-BBAC-DED84A591660}" name="Amount" totalsRowFunction="sum" dataDxfId="34" totalsRowDxfId="33"/>
    <tableColumn id="3" xr3:uid="{63480F59-6CF9-490D-A24B-9CF0F8772E3F}" name="Category" totalsRowFunction="count" dataDxfId="32" totalsRowDxfId="31"/>
    <tableColumn id="4" xr3:uid="{95C093D5-7342-4DF8-8E7A-F59AD0B71744}" name="Description" totalsRowFunction="count" dataDxfId="30"/>
  </tableColumns>
  <tableStyleInfo name="TableStyleLight16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F3E433E9-8E7D-44E2-9064-7F9719C2FA09}" name="OctTransactions" displayName="OctTransactions" ref="A1:D3" insertRow="1" totalsRowCount="1" headerRowDxfId="27" dataDxfId="26">
  <autoFilter ref="A1:D2" xr:uid="{0132ACF1-6648-47DD-A64F-BEC4E6C7BCDD}"/>
  <tableColumns count="4">
    <tableColumn id="1" xr3:uid="{4C2CE1CB-591A-4A60-877C-2E78FBE8DA41}" name="Date" totalsRowLabel="Total" dataDxfId="25"/>
    <tableColumn id="2" xr3:uid="{065054CF-4F54-42BC-9503-D4B7521E0616}" name="Amount" totalsRowFunction="sum" dataDxfId="24" totalsRowDxfId="23"/>
    <tableColumn id="3" xr3:uid="{E72DD3A5-AF55-420B-B394-6D52E8487D5D}" name="Category" totalsRowFunction="count" dataDxfId="22" totalsRowDxfId="21"/>
    <tableColumn id="4" xr3:uid="{341DCB61-6A53-4DBA-A7FE-A3E3D1091B83}" name="Description" totalsRowFunction="count" dataDxfId="20"/>
  </tableColumns>
  <tableStyleInfo name="TableStyleLight16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6FF2BB5-7A94-43E2-A990-EA219D2BDEA6}" name="NovTransactions" displayName="NovTransactions" ref="A1:D3" insertRow="1" totalsRowCount="1" headerRowDxfId="17" dataDxfId="16">
  <autoFilter ref="A1:D2" xr:uid="{0132ACF1-6648-47DD-A64F-BEC4E6C7BCDD}"/>
  <tableColumns count="4">
    <tableColumn id="1" xr3:uid="{C69FB732-383C-4F5B-9EA8-A9373406BC45}" name="Date" totalsRowLabel="Total" dataDxfId="15"/>
    <tableColumn id="2" xr3:uid="{58C094C1-34E6-4868-BB4F-68CAFC2430CD}" name="Amount" totalsRowFunction="sum" dataDxfId="14" totalsRowDxfId="13"/>
    <tableColumn id="3" xr3:uid="{6BE19147-F28A-46D0-AC32-835A19155512}" name="Category" totalsRowFunction="count" dataDxfId="12" totalsRowDxfId="11"/>
    <tableColumn id="4" xr3:uid="{8644B367-B113-4F4C-A4F1-B44A28CF0F6B}" name="Description" totalsRowFunction="count" dataDxfId="10"/>
  </tableColumns>
  <tableStyleInfo name="TableStyleLight16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F67B916-936E-400E-A152-2382B19AB7EB}" name="DecTransactions" displayName="DecTransactions" ref="A1:D3" insertRow="1" totalsRowCount="1" headerRowDxfId="7" dataDxfId="6">
  <autoFilter ref="A1:D2" xr:uid="{0132ACF1-6648-47DD-A64F-BEC4E6C7BCDD}"/>
  <tableColumns count="4">
    <tableColumn id="1" xr3:uid="{287357D3-9018-4D0A-8431-414BECCF226D}" name="Date" totalsRowLabel="Total" dataDxfId="5"/>
    <tableColumn id="2" xr3:uid="{FD93B050-6EDD-4074-927F-C46403B2F78D}" name="Amount" totalsRowFunction="sum" dataDxfId="4" totalsRowDxfId="3"/>
    <tableColumn id="3" xr3:uid="{D1DE50D2-74B6-439A-A36A-BE5C36CB39AE}" name="Category" totalsRowFunction="count" dataDxfId="2" totalsRowDxfId="1"/>
    <tableColumn id="4" xr3:uid="{FD1ABA7A-EEF9-41CA-8875-4CC92C911618}" name="Description" totalsRowFunction="count" dataDxfId="0"/>
  </tableColumns>
  <tableStyleInfo name="TableStyleLight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Relationship Id="rId6" Type="http://schemas.openxmlformats.org/officeDocument/2006/relationships/table" Target="../tables/table1.xml"/><Relationship Id="rId5" Type="http://schemas.openxmlformats.org/officeDocument/2006/relationships/ctrlProp" Target="../ctrlProps/ctrlProp3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Relationship Id="rId6" Type="http://schemas.openxmlformats.org/officeDocument/2006/relationships/table" Target="../tables/table2.xml"/><Relationship Id="rId5" Type="http://schemas.openxmlformats.org/officeDocument/2006/relationships/ctrlProp" Target="../ctrlProps/ctrlProp4.xml"/><Relationship Id="rId4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Relationship Id="rId6" Type="http://schemas.openxmlformats.org/officeDocument/2006/relationships/table" Target="../tables/table3.xml"/><Relationship Id="rId5" Type="http://schemas.openxmlformats.org/officeDocument/2006/relationships/ctrlProp" Target="../ctrlProps/ctrlProp5.xml"/><Relationship Id="rId4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Relationship Id="rId6" Type="http://schemas.openxmlformats.org/officeDocument/2006/relationships/table" Target="../tables/table4.xml"/><Relationship Id="rId5" Type="http://schemas.openxmlformats.org/officeDocument/2006/relationships/ctrlProp" Target="../ctrlProps/ctrlProp6.xml"/><Relationship Id="rId4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Relationship Id="rId6" Type="http://schemas.openxmlformats.org/officeDocument/2006/relationships/table" Target="../tables/table5.xml"/><Relationship Id="rId5" Type="http://schemas.openxmlformats.org/officeDocument/2006/relationships/ctrlProp" Target="../ctrlProps/ctrlProp7.xml"/><Relationship Id="rId4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Relationship Id="rId6" Type="http://schemas.openxmlformats.org/officeDocument/2006/relationships/table" Target="../tables/table6.xml"/><Relationship Id="rId5" Type="http://schemas.openxmlformats.org/officeDocument/2006/relationships/ctrlProp" Target="../ctrlProps/ctrlProp8.xml"/><Relationship Id="rId4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Relationship Id="rId6" Type="http://schemas.openxmlformats.org/officeDocument/2006/relationships/table" Target="../tables/table7.xml"/><Relationship Id="rId5" Type="http://schemas.openxmlformats.org/officeDocument/2006/relationships/ctrlProp" Target="../ctrlProps/ctrlProp9.xml"/><Relationship Id="rId4" Type="http://schemas.openxmlformats.org/officeDocument/2006/relationships/vmlDrawing" Target="../drawings/vmlDrawing8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Relationship Id="rId6" Type="http://schemas.openxmlformats.org/officeDocument/2006/relationships/table" Target="../tables/table8.xml"/><Relationship Id="rId5" Type="http://schemas.openxmlformats.org/officeDocument/2006/relationships/ctrlProp" Target="../ctrlProps/ctrlProp10.xml"/><Relationship Id="rId4" Type="http://schemas.openxmlformats.org/officeDocument/2006/relationships/vmlDrawing" Target="../drawings/vmlDrawing9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Relationship Id="rId6" Type="http://schemas.openxmlformats.org/officeDocument/2006/relationships/table" Target="../tables/table9.xml"/><Relationship Id="rId5" Type="http://schemas.openxmlformats.org/officeDocument/2006/relationships/ctrlProp" Target="../ctrlProps/ctrlProp11.xml"/><Relationship Id="rId4" Type="http://schemas.openxmlformats.org/officeDocument/2006/relationships/vmlDrawing" Target="../drawings/vmlDrawing10.v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Relationship Id="rId6" Type="http://schemas.openxmlformats.org/officeDocument/2006/relationships/table" Target="../tables/table10.xml"/><Relationship Id="rId5" Type="http://schemas.openxmlformats.org/officeDocument/2006/relationships/ctrlProp" Target="../ctrlProps/ctrlProp12.xml"/><Relationship Id="rId4" Type="http://schemas.openxmlformats.org/officeDocument/2006/relationships/vmlDrawing" Target="../drawings/vmlDrawing11.v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Relationship Id="rId6" Type="http://schemas.openxmlformats.org/officeDocument/2006/relationships/table" Target="../tables/table11.xml"/><Relationship Id="rId5" Type="http://schemas.openxmlformats.org/officeDocument/2006/relationships/ctrlProp" Target="../ctrlProps/ctrlProp13.xml"/><Relationship Id="rId4" Type="http://schemas.openxmlformats.org/officeDocument/2006/relationships/vmlDrawing" Target="../drawings/vmlDrawing12.v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Relationship Id="rId6" Type="http://schemas.openxmlformats.org/officeDocument/2006/relationships/table" Target="../tables/table12.xml"/><Relationship Id="rId5" Type="http://schemas.openxmlformats.org/officeDocument/2006/relationships/ctrlProp" Target="../ctrlProps/ctrlProp14.xml"/><Relationship Id="rId4" Type="http://schemas.openxmlformats.org/officeDocument/2006/relationships/vmlDrawing" Target="../drawings/vmlDrawing13.v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CD588C-4B6B-4056-831F-5D075C30F4DA}">
  <sheetPr codeName="Sheet1"/>
  <dimension ref="A1:N20"/>
  <sheetViews>
    <sheetView tabSelected="1" workbookViewId="0"/>
  </sheetViews>
  <sheetFormatPr defaultRowHeight="14.5" x14ac:dyDescent="0.35"/>
  <cols>
    <col min="1" max="1" width="17.36328125" bestFit="1" customWidth="1"/>
    <col min="2" max="2" width="15.26953125" bestFit="1" customWidth="1"/>
    <col min="3" max="3" width="8.81640625" bestFit="1" customWidth="1"/>
    <col min="4" max="4" width="9.54296875" bestFit="1" customWidth="1"/>
    <col min="5" max="5" width="8" bestFit="1" customWidth="1"/>
    <col min="6" max="6" width="8.81640625" bestFit="1" customWidth="1"/>
    <col min="7" max="9" width="9.453125" bestFit="1" customWidth="1"/>
    <col min="10" max="10" width="10" bestFit="1" customWidth="1"/>
    <col min="11" max="11" width="8.81640625" bestFit="1" customWidth="1"/>
    <col min="12" max="12" width="9.54296875" bestFit="1" customWidth="1"/>
    <col min="13" max="13" width="9.36328125" bestFit="1" customWidth="1"/>
    <col min="14" max="14" width="9.90625" bestFit="1" customWidth="1"/>
    <col min="15" max="15" width="20.08984375" customWidth="1"/>
    <col min="16" max="80" width="8.7265625" customWidth="1"/>
  </cols>
  <sheetData>
    <row r="1" spans="1:14" x14ac:dyDescent="0.35">
      <c r="A1" s="8" t="s">
        <v>48</v>
      </c>
      <c r="B1" s="8" t="s">
        <v>35</v>
      </c>
    </row>
    <row r="2" spans="1:14" x14ac:dyDescent="0.35">
      <c r="A2" s="10" t="s">
        <v>2</v>
      </c>
      <c r="B2" s="11" t="s">
        <v>37</v>
      </c>
      <c r="C2" s="11" t="s">
        <v>36</v>
      </c>
      <c r="D2" s="11" t="s">
        <v>38</v>
      </c>
      <c r="E2" s="11" t="s">
        <v>39</v>
      </c>
      <c r="F2" s="11" t="s">
        <v>40</v>
      </c>
      <c r="G2" s="11" t="s">
        <v>41</v>
      </c>
      <c r="H2" s="11" t="s">
        <v>42</v>
      </c>
      <c r="I2" s="11" t="s">
        <v>43</v>
      </c>
      <c r="J2" s="11" t="s">
        <v>44</v>
      </c>
      <c r="K2" s="11" t="s">
        <v>45</v>
      </c>
      <c r="L2" s="11" t="s">
        <v>46</v>
      </c>
      <c r="M2" s="11" t="s">
        <v>47</v>
      </c>
      <c r="N2" s="11" t="s">
        <v>4</v>
      </c>
    </row>
    <row r="3" spans="1:14" x14ac:dyDescent="0.35">
      <c r="A3" s="12" t="s">
        <v>15</v>
      </c>
      <c r="B3" s="13"/>
      <c r="C3" s="13">
        <v>-36.04</v>
      </c>
      <c r="D3" s="13">
        <v>-325.99</v>
      </c>
      <c r="E3" s="13"/>
      <c r="F3" s="13">
        <v>-463.1</v>
      </c>
      <c r="G3" s="13"/>
      <c r="H3" s="13"/>
      <c r="I3" s="13"/>
      <c r="J3" s="13">
        <v>-214.04000000000002</v>
      </c>
      <c r="K3" s="13"/>
      <c r="L3" s="13"/>
      <c r="M3" s="13"/>
      <c r="N3" s="14">
        <v>-1039.17</v>
      </c>
    </row>
    <row r="4" spans="1:14" x14ac:dyDescent="0.35">
      <c r="A4" s="12" t="s">
        <v>18</v>
      </c>
      <c r="B4" s="13"/>
      <c r="C4" s="13"/>
      <c r="D4" s="13"/>
      <c r="E4" s="13"/>
      <c r="F4" s="13">
        <v>-1.5</v>
      </c>
      <c r="G4" s="13"/>
      <c r="H4" s="13"/>
      <c r="I4" s="13">
        <v>-1.5</v>
      </c>
      <c r="J4" s="13"/>
      <c r="K4" s="13">
        <v>-1.5</v>
      </c>
      <c r="L4" s="13"/>
      <c r="M4" s="13"/>
      <c r="N4" s="14">
        <v>-4.5</v>
      </c>
    </row>
    <row r="5" spans="1:14" x14ac:dyDescent="0.35">
      <c r="A5" s="12" t="s">
        <v>5</v>
      </c>
      <c r="B5" s="13">
        <v>-246.78</v>
      </c>
      <c r="C5" s="13"/>
      <c r="D5" s="13">
        <v>-250.2</v>
      </c>
      <c r="E5" s="13"/>
      <c r="F5" s="13">
        <v>-409.08</v>
      </c>
      <c r="G5" s="13">
        <v>-204.53</v>
      </c>
      <c r="H5" s="13">
        <v>-204.53</v>
      </c>
      <c r="I5" s="13">
        <v>-204.53</v>
      </c>
      <c r="J5" s="13"/>
      <c r="K5" s="13">
        <v>-204.53</v>
      </c>
      <c r="L5" s="13"/>
      <c r="M5" s="13"/>
      <c r="N5" s="14">
        <v>-1724.1799999999998</v>
      </c>
    </row>
    <row r="6" spans="1:14" x14ac:dyDescent="0.35">
      <c r="A6" s="12" t="s">
        <v>17</v>
      </c>
      <c r="B6" s="13"/>
      <c r="C6" s="13"/>
      <c r="D6" s="13">
        <v>-4.88</v>
      </c>
      <c r="E6" s="13"/>
      <c r="F6" s="13">
        <v>-162.36000000000001</v>
      </c>
      <c r="G6" s="13"/>
      <c r="H6" s="13"/>
      <c r="I6" s="13"/>
      <c r="J6" s="13">
        <v>-33.21</v>
      </c>
      <c r="K6" s="13"/>
      <c r="L6" s="13"/>
      <c r="M6" s="13"/>
      <c r="N6" s="14">
        <v>-200.45000000000002</v>
      </c>
    </row>
    <row r="7" spans="1:14" x14ac:dyDescent="0.35">
      <c r="A7" s="12" t="s">
        <v>11</v>
      </c>
      <c r="B7" s="13">
        <v>-670.18000000000006</v>
      </c>
      <c r="C7" s="13">
        <v>-336.39</v>
      </c>
      <c r="D7" s="13">
        <v>-336.39</v>
      </c>
      <c r="E7" s="13">
        <v>-336.39</v>
      </c>
      <c r="F7" s="13">
        <v>-336.39</v>
      </c>
      <c r="G7" s="13">
        <v>-336.39</v>
      </c>
      <c r="H7" s="13">
        <v>-336.39</v>
      </c>
      <c r="I7" s="13">
        <v>-336.39</v>
      </c>
      <c r="J7" s="13">
        <v>-336.39</v>
      </c>
      <c r="K7" s="13">
        <v>-336.39</v>
      </c>
      <c r="L7" s="13">
        <v>-336.39</v>
      </c>
      <c r="M7" s="13">
        <v>-336.39</v>
      </c>
      <c r="N7" s="14">
        <v>-4370.4699999999993</v>
      </c>
    </row>
    <row r="8" spans="1:14" x14ac:dyDescent="0.35">
      <c r="A8" s="12" t="s">
        <v>9</v>
      </c>
      <c r="B8" s="13">
        <v>-14.95</v>
      </c>
      <c r="C8" s="13">
        <v>-128.94999999999999</v>
      </c>
      <c r="D8" s="13">
        <v>-253.95</v>
      </c>
      <c r="E8" s="13">
        <v>-14.95</v>
      </c>
      <c r="F8" s="13">
        <v>-114.95</v>
      </c>
      <c r="G8" s="13">
        <v>-2146.17</v>
      </c>
      <c r="H8" s="13">
        <v>-1582.8600000000001</v>
      </c>
      <c r="I8" s="13">
        <v>-1368.0300000000002</v>
      </c>
      <c r="J8" s="13"/>
      <c r="K8" s="13">
        <v>-731.78</v>
      </c>
      <c r="L8" s="13">
        <v>-1271.8800000000001</v>
      </c>
      <c r="M8" s="13">
        <v>-927.07</v>
      </c>
      <c r="N8" s="14">
        <v>-8555.5400000000009</v>
      </c>
    </row>
    <row r="9" spans="1:14" x14ac:dyDescent="0.35">
      <c r="A9" s="12" t="s">
        <v>7</v>
      </c>
      <c r="B9" s="13">
        <v>-41.95</v>
      </c>
      <c r="C9" s="13">
        <v>-19.97</v>
      </c>
      <c r="D9" s="13">
        <v>-22.48</v>
      </c>
      <c r="E9" s="13">
        <v>-24.98</v>
      </c>
      <c r="F9" s="13">
        <v>-11.99</v>
      </c>
      <c r="G9" s="13"/>
      <c r="H9" s="13"/>
      <c r="I9" s="13"/>
      <c r="J9" s="13"/>
      <c r="K9" s="13"/>
      <c r="L9" s="13"/>
      <c r="M9" s="13"/>
      <c r="N9" s="14">
        <v>-121.37</v>
      </c>
    </row>
    <row r="10" spans="1:14" x14ac:dyDescent="0.35">
      <c r="A10" s="12" t="s">
        <v>10</v>
      </c>
      <c r="B10" s="13">
        <v>-33.959999999999994</v>
      </c>
      <c r="C10" s="13">
        <v>-161.39000000000001</v>
      </c>
      <c r="D10" s="13">
        <v>-57.95</v>
      </c>
      <c r="E10" s="13">
        <v>-20.98</v>
      </c>
      <c r="F10" s="13"/>
      <c r="G10" s="13"/>
      <c r="H10" s="13"/>
      <c r="I10" s="13"/>
      <c r="J10" s="13">
        <v>-17.98</v>
      </c>
      <c r="K10" s="13"/>
      <c r="L10" s="13"/>
      <c r="M10" s="13"/>
      <c r="N10" s="14">
        <v>-292.26000000000005</v>
      </c>
    </row>
    <row r="11" spans="1:14" x14ac:dyDescent="0.35">
      <c r="A11" s="12" t="s">
        <v>6</v>
      </c>
      <c r="B11" s="13">
        <v>-72.44</v>
      </c>
      <c r="C11" s="13">
        <v>-81.819999999999993</v>
      </c>
      <c r="D11" s="13">
        <v>-67.409999999999982</v>
      </c>
      <c r="E11" s="13">
        <v>-83.02000000000001</v>
      </c>
      <c r="F11" s="13">
        <v>-45.71</v>
      </c>
      <c r="G11" s="13"/>
      <c r="H11" s="13"/>
      <c r="I11" s="13"/>
      <c r="J11" s="13">
        <v>-81.069999999999993</v>
      </c>
      <c r="K11" s="13"/>
      <c r="L11" s="13"/>
      <c r="M11" s="13"/>
      <c r="N11" s="14">
        <v>-431.46999999999991</v>
      </c>
    </row>
    <row r="12" spans="1:14" x14ac:dyDescent="0.35">
      <c r="A12" s="12" t="s">
        <v>8</v>
      </c>
      <c r="B12" s="13">
        <v>-180.93</v>
      </c>
      <c r="C12" s="13">
        <v>-153.32</v>
      </c>
      <c r="D12" s="13">
        <v>-190.15</v>
      </c>
      <c r="E12" s="13">
        <v>-156.75</v>
      </c>
      <c r="F12" s="13">
        <v>-47.91</v>
      </c>
      <c r="G12" s="13"/>
      <c r="H12" s="13"/>
      <c r="I12" s="13"/>
      <c r="J12" s="13">
        <v>-162.66999999999999</v>
      </c>
      <c r="K12" s="13"/>
      <c r="L12" s="13"/>
      <c r="M12" s="13"/>
      <c r="N12" s="14">
        <v>-891.7299999999999</v>
      </c>
    </row>
    <row r="13" spans="1:14" x14ac:dyDescent="0.35">
      <c r="A13" s="12" t="s">
        <v>22</v>
      </c>
      <c r="B13" s="13">
        <v>977.8</v>
      </c>
      <c r="C13" s="13">
        <v>997.74</v>
      </c>
      <c r="D13" s="13">
        <v>811.74</v>
      </c>
      <c r="E13" s="13">
        <v>873.58</v>
      </c>
      <c r="F13" s="13">
        <v>1762.11</v>
      </c>
      <c r="G13" s="13">
        <v>883.51</v>
      </c>
      <c r="H13" s="13">
        <v>1125.48</v>
      </c>
      <c r="I13" s="13">
        <v>968.43999999999994</v>
      </c>
      <c r="J13" s="13">
        <v>814.77</v>
      </c>
      <c r="K13" s="13">
        <v>1780.27</v>
      </c>
      <c r="L13" s="13">
        <v>956.37</v>
      </c>
      <c r="M13" s="13">
        <v>810.36</v>
      </c>
      <c r="N13" s="14">
        <v>12762.170000000002</v>
      </c>
    </row>
    <row r="14" spans="1:14" x14ac:dyDescent="0.35">
      <c r="A14" s="12" t="s">
        <v>12</v>
      </c>
      <c r="B14" s="13">
        <v>-1.99</v>
      </c>
      <c r="C14" s="13">
        <v>-1.99</v>
      </c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4">
        <v>-3.98</v>
      </c>
    </row>
    <row r="15" spans="1:14" x14ac:dyDescent="0.35">
      <c r="A15" s="12" t="s">
        <v>14</v>
      </c>
      <c r="B15" s="13"/>
      <c r="C15" s="13">
        <v>56.5</v>
      </c>
      <c r="D15" s="13"/>
      <c r="E15" s="13"/>
      <c r="F15" s="13">
        <v>-37</v>
      </c>
      <c r="G15" s="13"/>
      <c r="H15" s="13">
        <v>300</v>
      </c>
      <c r="I15" s="13"/>
      <c r="J15" s="13"/>
      <c r="K15" s="13"/>
      <c r="L15" s="13"/>
      <c r="M15" s="13"/>
      <c r="N15" s="14">
        <v>319.5</v>
      </c>
    </row>
    <row r="16" spans="1:14" x14ac:dyDescent="0.35">
      <c r="A16" s="12" t="s">
        <v>16</v>
      </c>
      <c r="B16" s="13"/>
      <c r="C16" s="13">
        <v>1344</v>
      </c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4">
        <v>1344</v>
      </c>
    </row>
    <row r="17" spans="1:14" x14ac:dyDescent="0.35">
      <c r="A17" s="12" t="s">
        <v>19</v>
      </c>
      <c r="B17" s="13">
        <v>124.52000000000002</v>
      </c>
      <c r="C17" s="13">
        <v>-939.56</v>
      </c>
      <c r="D17" s="13">
        <v>-2268.67</v>
      </c>
      <c r="E17" s="13">
        <v>-766.98999999999978</v>
      </c>
      <c r="F17" s="13">
        <v>-530.87</v>
      </c>
      <c r="G17" s="13">
        <v>1762.94</v>
      </c>
      <c r="H17" s="13">
        <v>-50</v>
      </c>
      <c r="I17" s="13">
        <v>-22.5</v>
      </c>
      <c r="J17" s="13">
        <v>-290.91000000000003</v>
      </c>
      <c r="K17" s="13">
        <v>-271.02999999999997</v>
      </c>
      <c r="L17" s="13">
        <v>-274.14999999999998</v>
      </c>
      <c r="M17" s="13">
        <v>-239.15</v>
      </c>
      <c r="N17" s="14">
        <v>-3766.37</v>
      </c>
    </row>
    <row r="18" spans="1:14" x14ac:dyDescent="0.35">
      <c r="A18" s="12" t="s">
        <v>21</v>
      </c>
      <c r="B18" s="13"/>
      <c r="C18" s="13"/>
      <c r="D18" s="13">
        <v>247.32</v>
      </c>
      <c r="E18" s="13"/>
      <c r="F18" s="13"/>
      <c r="G18" s="13"/>
      <c r="H18" s="13"/>
      <c r="I18" s="13"/>
      <c r="J18" s="13"/>
      <c r="K18" s="13"/>
      <c r="L18" s="13"/>
      <c r="M18" s="13"/>
      <c r="N18" s="14">
        <v>247.32</v>
      </c>
    </row>
    <row r="19" spans="1:14" x14ac:dyDescent="0.35">
      <c r="A19" s="12" t="s">
        <v>49</v>
      </c>
      <c r="B19" s="13">
        <v>-3.64</v>
      </c>
      <c r="C19" s="13">
        <v>-22.25</v>
      </c>
      <c r="D19" s="13">
        <v>-18.22</v>
      </c>
      <c r="E19" s="13">
        <v>-42.940000000000005</v>
      </c>
      <c r="F19" s="13">
        <v>-31.56</v>
      </c>
      <c r="G19" s="13"/>
      <c r="H19" s="13"/>
      <c r="I19" s="13"/>
      <c r="J19" s="13">
        <v>-73.56</v>
      </c>
      <c r="K19" s="13"/>
      <c r="L19" s="13"/>
      <c r="M19" s="13"/>
      <c r="N19" s="14">
        <v>-192.17000000000002</v>
      </c>
    </row>
    <row r="20" spans="1:14" x14ac:dyDescent="0.35">
      <c r="A20" s="12" t="s">
        <v>4</v>
      </c>
      <c r="B20" s="13">
        <v>-164.50000000000028</v>
      </c>
      <c r="C20" s="13">
        <v>516.56000000000017</v>
      </c>
      <c r="D20" s="13">
        <v>-2737.23</v>
      </c>
      <c r="E20" s="13">
        <v>-573.41999999999985</v>
      </c>
      <c r="F20" s="13">
        <v>-430.31000000000012</v>
      </c>
      <c r="G20" s="13">
        <v>-40.6400000000001</v>
      </c>
      <c r="H20" s="13">
        <v>-748.30000000000018</v>
      </c>
      <c r="I20" s="13">
        <v>-964.51000000000033</v>
      </c>
      <c r="J20" s="13">
        <v>-395.06000000000006</v>
      </c>
      <c r="K20" s="13">
        <v>235.04000000000019</v>
      </c>
      <c r="L20" s="13">
        <v>-926.05</v>
      </c>
      <c r="M20" s="13">
        <v>-692.25</v>
      </c>
      <c r="N20" s="14">
        <v>-6920.6699999999973</v>
      </c>
    </row>
  </sheetData>
  <conditionalFormatting pivot="1" sqref="B3:N20">
    <cfRule type="cellIs" dxfId="135" priority="2" operator="greaterThan">
      <formula>0</formula>
    </cfRule>
  </conditionalFormatting>
  <conditionalFormatting pivot="1" sqref="B3:N20">
    <cfRule type="cellIs" dxfId="134" priority="1" operator="lessThan">
      <formula>0</formula>
    </cfRule>
  </conditionalFormatting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ThisWorkbook.RefreshSheet">
                <anchor moveWithCells="1" sizeWithCells="1">
                  <from>
                    <xdr:col>14</xdr:col>
                    <xdr:colOff>260350</xdr:colOff>
                    <xdr:row>0</xdr:row>
                    <xdr:rowOff>0</xdr:rowOff>
                  </from>
                  <to>
                    <xdr:col>14</xdr:col>
                    <xdr:colOff>1174750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ThisWorkbook.ReCategorizeAll">
                <anchor moveWithCells="1" sizeWithCells="1">
                  <from>
                    <xdr:col>14</xdr:col>
                    <xdr:colOff>63500</xdr:colOff>
                    <xdr:row>1</xdr:row>
                    <xdr:rowOff>12700</xdr:rowOff>
                  </from>
                  <to>
                    <xdr:col>14</xdr:col>
                    <xdr:colOff>1346200</xdr:colOff>
                    <xdr:row>2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5047E4-50B8-4E02-BAB9-E276DC392175}">
  <sheetPr codeName="Sheet2"/>
  <dimension ref="A1:G3"/>
  <sheetViews>
    <sheetView workbookViewId="0"/>
  </sheetViews>
  <sheetFormatPr defaultRowHeight="14.5" x14ac:dyDescent="0.35"/>
  <cols>
    <col min="1" max="1" width="10.6328125" customWidth="1"/>
    <col min="2" max="2" width="12.6328125" customWidth="1"/>
    <col min="3" max="3" width="20.6328125" customWidth="1"/>
    <col min="4" max="4" width="78.36328125" bestFit="1" customWidth="1"/>
    <col min="5" max="5" width="20.08984375" customWidth="1"/>
    <col min="6" max="6" width="17.54296875" bestFit="1" customWidth="1"/>
    <col min="7" max="7" width="5.08984375" bestFit="1" customWidth="1"/>
  </cols>
  <sheetData>
    <row r="1" spans="1:7" ht="15.5" x14ac:dyDescent="0.35">
      <c r="A1" s="3" t="s">
        <v>0</v>
      </c>
      <c r="B1" s="3" t="s">
        <v>1</v>
      </c>
      <c r="C1" s="3" t="s">
        <v>2</v>
      </c>
      <c r="D1" s="3" t="s">
        <v>3</v>
      </c>
      <c r="F1" s="8" t="s">
        <v>2</v>
      </c>
      <c r="G1" t="s">
        <v>4</v>
      </c>
    </row>
    <row r="2" spans="1:7" x14ac:dyDescent="0.35">
      <c r="A2" s="4"/>
      <c r="B2" s="5"/>
      <c r="C2" s="6"/>
      <c r="D2" s="6"/>
      <c r="F2" s="9" t="s">
        <v>19</v>
      </c>
      <c r="G2" s="2"/>
    </row>
    <row r="3" spans="1:7" x14ac:dyDescent="0.35">
      <c r="A3" t="s">
        <v>13</v>
      </c>
      <c r="B3" s="1">
        <f>SUBTOTAL(109,JanTransactions[Amount])</f>
        <v>0</v>
      </c>
      <c r="C3" s="2">
        <f>SUBTOTAL(103,JanTransactions[Category])</f>
        <v>0</v>
      </c>
      <c r="D3">
        <f>SUBTOTAL(103,JanTransactions[Description])</f>
        <v>0</v>
      </c>
      <c r="F3" s="9" t="s">
        <v>20</v>
      </c>
      <c r="G3" s="2"/>
    </row>
  </sheetData>
  <conditionalFormatting sqref="B2:B3">
    <cfRule type="cellIs" dxfId="119" priority="1" operator="lessThan">
      <formula>0</formula>
    </cfRule>
    <cfRule type="cellIs" dxfId="118" priority="2" operator="greaterThan">
      <formula>0</formula>
    </cfRule>
  </conditionalFormatting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ThisWorkbook.RefreshSheet">
                <anchor moveWithCells="1" sizeWithCells="1">
                  <from>
                    <xdr:col>4</xdr:col>
                    <xdr:colOff>241300</xdr:colOff>
                    <xdr:row>0</xdr:row>
                    <xdr:rowOff>0</xdr:rowOff>
                  </from>
                  <to>
                    <xdr:col>4</xdr:col>
                    <xdr:colOff>1155700</xdr:colOff>
                    <xdr:row>0</xdr:row>
                    <xdr:rowOff>184150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37AD49-BEB3-45DA-94CA-3C370E10B85A}">
  <sheetPr codeName="Sheet3"/>
  <dimension ref="A1:G3"/>
  <sheetViews>
    <sheetView workbookViewId="0"/>
  </sheetViews>
  <sheetFormatPr defaultRowHeight="14.5" x14ac:dyDescent="0.35"/>
  <cols>
    <col min="1" max="1" width="10.6328125" customWidth="1"/>
    <col min="2" max="2" width="12.6328125" customWidth="1"/>
    <col min="3" max="3" width="20.6328125" customWidth="1"/>
    <col min="4" max="4" width="100.6328125" customWidth="1"/>
    <col min="5" max="5" width="20.08984375" customWidth="1"/>
    <col min="6" max="6" width="18.54296875" bestFit="1" customWidth="1"/>
    <col min="7" max="7" width="5.90625" bestFit="1" customWidth="1"/>
  </cols>
  <sheetData>
    <row r="1" spans="1:7" ht="15.5" x14ac:dyDescent="0.35">
      <c r="A1" s="3" t="s">
        <v>0</v>
      </c>
      <c r="B1" s="3" t="s">
        <v>1</v>
      </c>
      <c r="C1" s="3" t="s">
        <v>2</v>
      </c>
      <c r="D1" s="3" t="s">
        <v>3</v>
      </c>
      <c r="F1" s="8" t="s">
        <v>2</v>
      </c>
      <c r="G1" t="s">
        <v>23</v>
      </c>
    </row>
    <row r="2" spans="1:7" x14ac:dyDescent="0.35">
      <c r="A2" s="4"/>
      <c r="B2" s="5"/>
      <c r="C2" s="6"/>
      <c r="D2" s="6"/>
      <c r="F2" s="9" t="s">
        <v>19</v>
      </c>
      <c r="G2" s="2"/>
    </row>
    <row r="3" spans="1:7" x14ac:dyDescent="0.35">
      <c r="A3" t="s">
        <v>4</v>
      </c>
      <c r="B3" s="1">
        <f>SUBTOTAL(109,FebTransactions[Amount])</f>
        <v>0</v>
      </c>
      <c r="C3" s="2">
        <f>SUBTOTAL(103,FebTransactions[Category])</f>
        <v>0</v>
      </c>
      <c r="D3">
        <f>SUBTOTAL(103,FebTransactions[Description])</f>
        <v>0</v>
      </c>
      <c r="F3" s="9" t="s">
        <v>24</v>
      </c>
      <c r="G3" s="2"/>
    </row>
  </sheetData>
  <conditionalFormatting sqref="B2:B3">
    <cfRule type="cellIs" dxfId="109" priority="1" operator="lessThan">
      <formula>0</formula>
    </cfRule>
    <cfRule type="cellIs" dxfId="108" priority="2" operator="greaterThan">
      <formula>0</formula>
    </cfRule>
  </conditionalFormatting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5" name="Button 1">
              <controlPr defaultSize="0" print="0" autoFill="0" autoPict="0" macro="[0]!ThisWorkbook.RefreshSheet">
                <anchor moveWithCells="1" sizeWithCells="1">
                  <from>
                    <xdr:col>4</xdr:col>
                    <xdr:colOff>247650</xdr:colOff>
                    <xdr:row>0</xdr:row>
                    <xdr:rowOff>0</xdr:rowOff>
                  </from>
                  <to>
                    <xdr:col>4</xdr:col>
                    <xdr:colOff>1162050</xdr:colOff>
                    <xdr:row>0</xdr:row>
                    <xdr:rowOff>184150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F7BB0F-0422-4051-915A-6E9E7E628BE2}">
  <sheetPr codeName="Sheet4"/>
  <dimension ref="A1:G3"/>
  <sheetViews>
    <sheetView workbookViewId="0"/>
  </sheetViews>
  <sheetFormatPr defaultRowHeight="14.5" x14ac:dyDescent="0.35"/>
  <cols>
    <col min="1" max="1" width="10.6328125" customWidth="1"/>
    <col min="2" max="2" width="12.6328125" customWidth="1"/>
    <col min="3" max="3" width="20.6328125" customWidth="1"/>
    <col min="4" max="4" width="100.6328125" customWidth="1"/>
    <col min="5" max="5" width="20.08984375" customWidth="1"/>
    <col min="6" max="6" width="16.36328125" bestFit="1" customWidth="1"/>
    <col min="7" max="7" width="5.90625" bestFit="1" customWidth="1"/>
  </cols>
  <sheetData>
    <row r="1" spans="1:7" ht="15.5" x14ac:dyDescent="0.35">
      <c r="A1" s="3" t="s">
        <v>0</v>
      </c>
      <c r="B1" s="3" t="s">
        <v>1</v>
      </c>
      <c r="C1" s="3" t="s">
        <v>2</v>
      </c>
      <c r="D1" s="3" t="s">
        <v>3</v>
      </c>
      <c r="F1" s="8" t="s">
        <v>2</v>
      </c>
      <c r="G1" t="s">
        <v>23</v>
      </c>
    </row>
    <row r="2" spans="1:7" x14ac:dyDescent="0.35">
      <c r="A2" s="4"/>
      <c r="B2" s="5"/>
      <c r="C2" s="6"/>
      <c r="D2" s="6"/>
      <c r="F2" s="9" t="s">
        <v>19</v>
      </c>
      <c r="G2" s="2"/>
    </row>
    <row r="3" spans="1:7" x14ac:dyDescent="0.35">
      <c r="A3" t="s">
        <v>4</v>
      </c>
      <c r="B3" s="1">
        <f>SUBTOTAL(109,MarTransactions[Amount])</f>
        <v>0</v>
      </c>
      <c r="C3" s="2">
        <f>SUBTOTAL(103,MarTransactions[Category])</f>
        <v>0</v>
      </c>
      <c r="D3">
        <f>SUBTOTAL(103,MarTransactions[Description])</f>
        <v>0</v>
      </c>
      <c r="F3" s="9" t="s">
        <v>25</v>
      </c>
      <c r="G3" s="2"/>
    </row>
  </sheetData>
  <conditionalFormatting sqref="B2:B3">
    <cfRule type="cellIs" dxfId="99" priority="1" operator="lessThan">
      <formula>0</formula>
    </cfRule>
    <cfRule type="cellIs" dxfId="98" priority="2" operator="greaterThan">
      <formula>0</formula>
    </cfRule>
  </conditionalFormatting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5" name="Button 1">
              <controlPr defaultSize="0" print="0" autoFill="0" autoPict="0" macro="[0]!ThisWorkbook.RefreshSheet">
                <anchor moveWithCells="1" sizeWithCells="1">
                  <from>
                    <xdr:col>4</xdr:col>
                    <xdr:colOff>247650</xdr:colOff>
                    <xdr:row>0</xdr:row>
                    <xdr:rowOff>0</xdr:rowOff>
                  </from>
                  <to>
                    <xdr:col>4</xdr:col>
                    <xdr:colOff>1162050</xdr:colOff>
                    <xdr:row>0</xdr:row>
                    <xdr:rowOff>184150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B48963-4F03-41E7-90B1-81ADFAC3A5D5}">
  <sheetPr codeName="Sheet5"/>
  <dimension ref="A1:G3"/>
  <sheetViews>
    <sheetView workbookViewId="0"/>
  </sheetViews>
  <sheetFormatPr defaultRowHeight="14.5" x14ac:dyDescent="0.35"/>
  <cols>
    <col min="1" max="1" width="10.6328125" customWidth="1"/>
    <col min="2" max="2" width="12.6328125" customWidth="1"/>
    <col min="3" max="3" width="20.6328125" customWidth="1"/>
    <col min="4" max="4" width="100.6328125" customWidth="1"/>
    <col min="5" max="5" width="20.08984375" customWidth="1"/>
    <col min="6" max="6" width="14.90625" bestFit="1" customWidth="1"/>
    <col min="7" max="7" width="5.90625" bestFit="1" customWidth="1"/>
  </cols>
  <sheetData>
    <row r="1" spans="1:7" ht="15.5" x14ac:dyDescent="0.35">
      <c r="A1" s="3" t="s">
        <v>0</v>
      </c>
      <c r="B1" s="3" t="s">
        <v>1</v>
      </c>
      <c r="C1" s="3" t="s">
        <v>2</v>
      </c>
      <c r="D1" s="3" t="s">
        <v>3</v>
      </c>
      <c r="F1" s="8" t="s">
        <v>2</v>
      </c>
      <c r="G1" t="s">
        <v>23</v>
      </c>
    </row>
    <row r="2" spans="1:7" x14ac:dyDescent="0.35">
      <c r="A2" s="4"/>
      <c r="B2" s="5"/>
      <c r="C2" s="6"/>
      <c r="D2" s="6"/>
      <c r="F2" s="9" t="s">
        <v>19</v>
      </c>
      <c r="G2" s="2"/>
    </row>
    <row r="3" spans="1:7" x14ac:dyDescent="0.35">
      <c r="A3" t="s">
        <v>4</v>
      </c>
      <c r="B3" s="1">
        <f>SUBTOTAL(109,AprTransactions[Amount])</f>
        <v>0</v>
      </c>
      <c r="C3" s="2">
        <f>SUBTOTAL(103,AprTransactions[Category])</f>
        <v>0</v>
      </c>
      <c r="D3">
        <f>SUBTOTAL(103,AprTransactions[Description])</f>
        <v>0</v>
      </c>
      <c r="F3" s="9" t="s">
        <v>26</v>
      </c>
      <c r="G3" s="2"/>
    </row>
  </sheetData>
  <conditionalFormatting sqref="B2:B3">
    <cfRule type="cellIs" dxfId="89" priority="1" operator="lessThan">
      <formula>0</formula>
    </cfRule>
    <cfRule type="cellIs" dxfId="88" priority="2" operator="greaterThan">
      <formula>0</formula>
    </cfRule>
  </conditionalFormatting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5" name="Button 1">
              <controlPr defaultSize="0" print="0" autoFill="0" autoPict="0" macro="[0]!ThisWorkbook.RefreshSheet">
                <anchor moveWithCells="1" sizeWithCells="1">
                  <from>
                    <xdr:col>4</xdr:col>
                    <xdr:colOff>247650</xdr:colOff>
                    <xdr:row>0</xdr:row>
                    <xdr:rowOff>0</xdr:rowOff>
                  </from>
                  <to>
                    <xdr:col>4</xdr:col>
                    <xdr:colOff>1162050</xdr:colOff>
                    <xdr:row>0</xdr:row>
                    <xdr:rowOff>184150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1F168D-0D46-40FA-B6A4-6A7F4D28ECF6}">
  <sheetPr codeName="Sheet6"/>
  <dimension ref="A1:G3"/>
  <sheetViews>
    <sheetView workbookViewId="0"/>
  </sheetViews>
  <sheetFormatPr defaultRowHeight="14.5" x14ac:dyDescent="0.35"/>
  <cols>
    <col min="1" max="1" width="10.6328125" customWidth="1"/>
    <col min="2" max="2" width="12.6328125" customWidth="1"/>
    <col min="3" max="3" width="20.6328125" customWidth="1"/>
    <col min="4" max="4" width="100.6328125" customWidth="1"/>
    <col min="5" max="5" width="20.08984375" customWidth="1"/>
    <col min="6" max="6" width="14.6328125" bestFit="1" customWidth="1"/>
    <col min="7" max="7" width="5.90625" bestFit="1" customWidth="1"/>
  </cols>
  <sheetData>
    <row r="1" spans="1:7" ht="15.5" x14ac:dyDescent="0.35">
      <c r="A1" s="3" t="s">
        <v>0</v>
      </c>
      <c r="B1" s="3" t="s">
        <v>1</v>
      </c>
      <c r="C1" s="3" t="s">
        <v>2</v>
      </c>
      <c r="D1" s="3" t="s">
        <v>3</v>
      </c>
      <c r="F1" s="8" t="s">
        <v>2</v>
      </c>
      <c r="G1" t="s">
        <v>23</v>
      </c>
    </row>
    <row r="2" spans="1:7" x14ac:dyDescent="0.35">
      <c r="A2" s="4"/>
      <c r="B2" s="5"/>
      <c r="C2" s="6"/>
      <c r="D2" s="6"/>
      <c r="F2" s="9" t="s">
        <v>19</v>
      </c>
      <c r="G2" s="2"/>
    </row>
    <row r="3" spans="1:7" x14ac:dyDescent="0.35">
      <c r="A3" t="s">
        <v>4</v>
      </c>
      <c r="B3" s="1">
        <f>SUBTOTAL(109,MayTransactions[Amount])</f>
        <v>0</v>
      </c>
      <c r="C3" s="2">
        <f>SUBTOTAL(103,MayTransactions[Category])</f>
        <v>0</v>
      </c>
      <c r="D3">
        <f>SUBTOTAL(103,MayTransactions[Description])</f>
        <v>0</v>
      </c>
      <c r="F3" s="9" t="s">
        <v>27</v>
      </c>
      <c r="G3" s="2"/>
    </row>
  </sheetData>
  <conditionalFormatting sqref="B2:B3">
    <cfRule type="cellIs" dxfId="79" priority="1" operator="lessThan">
      <formula>0</formula>
    </cfRule>
    <cfRule type="cellIs" dxfId="78" priority="2" operator="greaterThan">
      <formula>0</formula>
    </cfRule>
  </conditionalFormatting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ThisWorkbook.RefreshSheet">
                <anchor moveWithCells="1" sizeWithCells="1">
                  <from>
                    <xdr:col>4</xdr:col>
                    <xdr:colOff>241300</xdr:colOff>
                    <xdr:row>0</xdr:row>
                    <xdr:rowOff>0</xdr:rowOff>
                  </from>
                  <to>
                    <xdr:col>4</xdr:col>
                    <xdr:colOff>1155700</xdr:colOff>
                    <xdr:row>0</xdr:row>
                    <xdr:rowOff>184150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1215BA-5D70-4935-BEE7-89F0B6816A88}">
  <sheetPr codeName="Sheet7"/>
  <dimension ref="A1:G3"/>
  <sheetViews>
    <sheetView workbookViewId="0"/>
  </sheetViews>
  <sheetFormatPr defaultRowHeight="14.5" x14ac:dyDescent="0.35"/>
  <cols>
    <col min="1" max="1" width="10.6328125" customWidth="1"/>
    <col min="2" max="2" width="12.6328125" customWidth="1"/>
    <col min="3" max="3" width="20.6328125" customWidth="1"/>
    <col min="4" max="4" width="100.6328125" customWidth="1"/>
    <col min="5" max="5" width="20.08984375" customWidth="1"/>
    <col min="6" max="6" width="14.81640625" bestFit="1" customWidth="1"/>
    <col min="7" max="7" width="5.90625" bestFit="1" customWidth="1"/>
  </cols>
  <sheetData>
    <row r="1" spans="1:7" ht="15.5" x14ac:dyDescent="0.35">
      <c r="A1" s="3" t="s">
        <v>0</v>
      </c>
      <c r="B1" s="3" t="s">
        <v>1</v>
      </c>
      <c r="C1" s="3" t="s">
        <v>2</v>
      </c>
      <c r="D1" s="3" t="s">
        <v>3</v>
      </c>
      <c r="F1" s="8" t="s">
        <v>2</v>
      </c>
      <c r="G1" t="s">
        <v>23</v>
      </c>
    </row>
    <row r="2" spans="1:7" x14ac:dyDescent="0.35">
      <c r="A2" s="4"/>
      <c r="B2" s="5"/>
      <c r="C2" s="6"/>
      <c r="D2" s="6"/>
      <c r="F2" s="9" t="s">
        <v>19</v>
      </c>
      <c r="G2" s="2"/>
    </row>
    <row r="3" spans="1:7" x14ac:dyDescent="0.35">
      <c r="A3" t="s">
        <v>4</v>
      </c>
      <c r="B3" s="1">
        <f>SUBTOTAL(109,JunTransactions[Amount])</f>
        <v>0</v>
      </c>
      <c r="C3" s="2">
        <f>SUBTOTAL(103,JunTransactions[Category])</f>
        <v>0</v>
      </c>
      <c r="D3">
        <f>SUBTOTAL(103,JunTransactions[Description])</f>
        <v>0</v>
      </c>
      <c r="F3" s="9" t="s">
        <v>28</v>
      </c>
      <c r="G3" s="2"/>
    </row>
  </sheetData>
  <conditionalFormatting sqref="B2:B3">
    <cfRule type="cellIs" dxfId="69" priority="1" operator="lessThan">
      <formula>0</formula>
    </cfRule>
    <cfRule type="cellIs" dxfId="68" priority="2" operator="greaterThan">
      <formula>0</formula>
    </cfRule>
  </conditionalFormatting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5" name="Button 1">
              <controlPr defaultSize="0" print="0" autoFill="0" autoPict="0" macro="[0]!ThisWorkbook.RefreshSheet">
                <anchor moveWithCells="1" sizeWithCells="1">
                  <from>
                    <xdr:col>4</xdr:col>
                    <xdr:colOff>241300</xdr:colOff>
                    <xdr:row>0</xdr:row>
                    <xdr:rowOff>0</xdr:rowOff>
                  </from>
                  <to>
                    <xdr:col>4</xdr:col>
                    <xdr:colOff>1155700</xdr:colOff>
                    <xdr:row>0</xdr:row>
                    <xdr:rowOff>184150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5EF1E-2E6E-4EB5-8AF8-B8465A026F02}">
  <sheetPr codeName="Sheet8"/>
  <dimension ref="A1:G3"/>
  <sheetViews>
    <sheetView workbookViewId="0"/>
  </sheetViews>
  <sheetFormatPr defaultRowHeight="14.5" x14ac:dyDescent="0.35"/>
  <cols>
    <col min="1" max="1" width="10.6328125" customWidth="1"/>
    <col min="2" max="2" width="12.6328125" customWidth="1"/>
    <col min="3" max="3" width="20.6328125" customWidth="1"/>
    <col min="4" max="4" width="100.6328125" customWidth="1"/>
    <col min="5" max="5" width="20.08984375" customWidth="1"/>
    <col min="6" max="6" width="14.08984375" bestFit="1" customWidth="1"/>
    <col min="7" max="7" width="5.90625" bestFit="1" customWidth="1"/>
  </cols>
  <sheetData>
    <row r="1" spans="1:7" ht="15.5" x14ac:dyDescent="0.35">
      <c r="A1" s="3" t="s">
        <v>0</v>
      </c>
      <c r="B1" s="3" t="s">
        <v>1</v>
      </c>
      <c r="C1" s="3" t="s">
        <v>2</v>
      </c>
      <c r="D1" s="3" t="s">
        <v>3</v>
      </c>
      <c r="F1" s="8" t="s">
        <v>2</v>
      </c>
      <c r="G1" t="s">
        <v>23</v>
      </c>
    </row>
    <row r="2" spans="1:7" x14ac:dyDescent="0.35">
      <c r="A2" s="4"/>
      <c r="B2" s="5"/>
      <c r="C2" s="6"/>
      <c r="D2" s="6"/>
      <c r="F2" s="9" t="s">
        <v>19</v>
      </c>
      <c r="G2" s="2"/>
    </row>
    <row r="3" spans="1:7" x14ac:dyDescent="0.35">
      <c r="A3" t="s">
        <v>4</v>
      </c>
      <c r="B3" s="1">
        <f>SUBTOTAL(109,JulTransactions[Amount])</f>
        <v>0</v>
      </c>
      <c r="C3" s="2">
        <f>SUBTOTAL(103,JulTransactions[Category])</f>
        <v>0</v>
      </c>
      <c r="D3">
        <f>SUBTOTAL(103,JulTransactions[Description])</f>
        <v>0</v>
      </c>
      <c r="F3" s="9" t="s">
        <v>29</v>
      </c>
      <c r="G3" s="2"/>
    </row>
  </sheetData>
  <conditionalFormatting sqref="B2:B3">
    <cfRule type="cellIs" dxfId="59" priority="1" operator="lessThan">
      <formula>0</formula>
    </cfRule>
    <cfRule type="cellIs" dxfId="58" priority="2" operator="greaterThan">
      <formula>0</formula>
    </cfRule>
  </conditionalFormatting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5" name="Button 1">
              <controlPr defaultSize="0" print="0" autoFill="0" autoPict="0" macro="[0]!ThisWorkbook.RefreshSheet">
                <anchor moveWithCells="1" sizeWithCells="1">
                  <from>
                    <xdr:col>4</xdr:col>
                    <xdr:colOff>234950</xdr:colOff>
                    <xdr:row>0</xdr:row>
                    <xdr:rowOff>0</xdr:rowOff>
                  </from>
                  <to>
                    <xdr:col>4</xdr:col>
                    <xdr:colOff>1149350</xdr:colOff>
                    <xdr:row>0</xdr:row>
                    <xdr:rowOff>184150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9D5E1F-81E4-41D0-8802-41ACA1F2D6D2}">
  <sheetPr codeName="Sheet9"/>
  <dimension ref="A1:G3"/>
  <sheetViews>
    <sheetView workbookViewId="0"/>
  </sheetViews>
  <sheetFormatPr defaultRowHeight="14.5" x14ac:dyDescent="0.35"/>
  <cols>
    <col min="1" max="1" width="10.6328125" customWidth="1"/>
    <col min="2" max="2" width="12.6328125" customWidth="1"/>
    <col min="3" max="3" width="20.6328125" customWidth="1"/>
    <col min="4" max="4" width="100.6328125" customWidth="1"/>
    <col min="5" max="5" width="20.08984375" customWidth="1"/>
    <col min="6" max="6" width="16.81640625" bestFit="1" customWidth="1"/>
    <col min="7" max="7" width="5.90625" bestFit="1" customWidth="1"/>
  </cols>
  <sheetData>
    <row r="1" spans="1:7" ht="15.5" x14ac:dyDescent="0.35">
      <c r="A1" s="3" t="s">
        <v>0</v>
      </c>
      <c r="B1" s="3" t="s">
        <v>1</v>
      </c>
      <c r="C1" s="3" t="s">
        <v>2</v>
      </c>
      <c r="D1" s="3" t="s">
        <v>3</v>
      </c>
      <c r="F1" s="8" t="s">
        <v>2</v>
      </c>
      <c r="G1" t="s">
        <v>23</v>
      </c>
    </row>
    <row r="2" spans="1:7" x14ac:dyDescent="0.35">
      <c r="A2" s="4"/>
      <c r="B2" s="5"/>
      <c r="C2" s="6"/>
      <c r="D2" s="6"/>
      <c r="F2" s="9" t="s">
        <v>19</v>
      </c>
      <c r="G2" s="2"/>
    </row>
    <row r="3" spans="1:7" x14ac:dyDescent="0.35">
      <c r="A3" t="s">
        <v>4</v>
      </c>
      <c r="B3" s="1">
        <f>SUBTOTAL(109,AugTransactions[Amount])</f>
        <v>0</v>
      </c>
      <c r="C3" s="2">
        <f>SUBTOTAL(103,AugTransactions[Category])</f>
        <v>0</v>
      </c>
      <c r="D3">
        <f>SUBTOTAL(103,AugTransactions[Description])</f>
        <v>0</v>
      </c>
      <c r="F3" s="9" t="s">
        <v>30</v>
      </c>
      <c r="G3" s="2"/>
    </row>
  </sheetData>
  <conditionalFormatting sqref="B2:B3">
    <cfRule type="cellIs" dxfId="49" priority="1" operator="lessThan">
      <formula>0</formula>
    </cfRule>
    <cfRule type="cellIs" dxfId="48" priority="2" operator="greaterThan">
      <formula>0</formula>
    </cfRule>
  </conditionalFormatting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5" name="Button 1">
              <controlPr defaultSize="0" print="0" autoFill="0" autoPict="0" macro="[0]!ThisWorkbook.RefreshSheet">
                <anchor moveWithCells="1" sizeWithCells="1">
                  <from>
                    <xdr:col>4</xdr:col>
                    <xdr:colOff>241300</xdr:colOff>
                    <xdr:row>0</xdr:row>
                    <xdr:rowOff>0</xdr:rowOff>
                  </from>
                  <to>
                    <xdr:col>4</xdr:col>
                    <xdr:colOff>1155700</xdr:colOff>
                    <xdr:row>0</xdr:row>
                    <xdr:rowOff>184150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3FE247-DDDC-4EC4-AC24-912353441AE4}">
  <sheetPr codeName="Sheet10"/>
  <dimension ref="A1:G3"/>
  <sheetViews>
    <sheetView workbookViewId="0"/>
  </sheetViews>
  <sheetFormatPr defaultRowHeight="14.5" x14ac:dyDescent="0.35"/>
  <cols>
    <col min="1" max="1" width="10.6328125" customWidth="1"/>
    <col min="2" max="2" width="12.6328125" customWidth="1"/>
    <col min="3" max="3" width="20.6328125" customWidth="1"/>
    <col min="4" max="4" width="100.6328125" customWidth="1"/>
    <col min="5" max="5" width="20.08984375" customWidth="1"/>
    <col min="6" max="6" width="20.26953125" bestFit="1" customWidth="1"/>
    <col min="7" max="7" width="5.90625" bestFit="1" customWidth="1"/>
  </cols>
  <sheetData>
    <row r="1" spans="1:7" ht="15.5" x14ac:dyDescent="0.35">
      <c r="A1" s="3" t="s">
        <v>0</v>
      </c>
      <c r="B1" s="3" t="s">
        <v>1</v>
      </c>
      <c r="C1" s="3" t="s">
        <v>2</v>
      </c>
      <c r="D1" s="3" t="s">
        <v>3</v>
      </c>
      <c r="F1" s="8" t="s">
        <v>2</v>
      </c>
      <c r="G1" t="s">
        <v>23</v>
      </c>
    </row>
    <row r="2" spans="1:7" x14ac:dyDescent="0.35">
      <c r="A2" s="4"/>
      <c r="B2" s="5"/>
      <c r="C2" s="6"/>
      <c r="D2" s="6"/>
      <c r="F2" s="9" t="s">
        <v>19</v>
      </c>
      <c r="G2" s="2"/>
    </row>
    <row r="3" spans="1:7" x14ac:dyDescent="0.35">
      <c r="A3" t="s">
        <v>4</v>
      </c>
      <c r="B3" s="1">
        <f>SUBTOTAL(109,SepTransactions[Amount])</f>
        <v>0</v>
      </c>
      <c r="C3" s="2">
        <f>SUBTOTAL(103,SepTransactions[Category])</f>
        <v>0</v>
      </c>
      <c r="D3">
        <f>SUBTOTAL(103,SepTransactions[Description])</f>
        <v>0</v>
      </c>
      <c r="F3" s="9" t="s">
        <v>31</v>
      </c>
      <c r="G3" s="2"/>
    </row>
  </sheetData>
  <conditionalFormatting sqref="B2:B3">
    <cfRule type="cellIs" dxfId="39" priority="1" operator="lessThan">
      <formula>0</formula>
    </cfRule>
    <cfRule type="cellIs" dxfId="38" priority="2" operator="greaterThan">
      <formula>0</formula>
    </cfRule>
  </conditionalFormatting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5" name="Button 1">
              <controlPr defaultSize="0" print="0" autoFill="0" autoPict="0" macro="[0]!ThisWorkbook.RefreshSheet">
                <anchor moveWithCells="1" sizeWithCells="1">
                  <from>
                    <xdr:col>4</xdr:col>
                    <xdr:colOff>241300</xdr:colOff>
                    <xdr:row>0</xdr:row>
                    <xdr:rowOff>0</xdr:rowOff>
                  </from>
                  <to>
                    <xdr:col>4</xdr:col>
                    <xdr:colOff>1155700</xdr:colOff>
                    <xdr:row>0</xdr:row>
                    <xdr:rowOff>184150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38474-CBD7-4B15-B0E9-4CBD54AD71C5}">
  <sheetPr codeName="Sheet11"/>
  <dimension ref="A1:G3"/>
  <sheetViews>
    <sheetView workbookViewId="0"/>
  </sheetViews>
  <sheetFormatPr defaultRowHeight="14.5" x14ac:dyDescent="0.35"/>
  <cols>
    <col min="1" max="1" width="10.6328125" customWidth="1"/>
    <col min="2" max="2" width="12.6328125" customWidth="1"/>
    <col min="3" max="3" width="20.6328125" customWidth="1"/>
    <col min="4" max="4" width="100.6328125" customWidth="1"/>
    <col min="5" max="5" width="20.08984375" customWidth="1"/>
    <col min="6" max="6" width="17.90625" bestFit="1" customWidth="1"/>
    <col min="7" max="7" width="5.90625" bestFit="1" customWidth="1"/>
  </cols>
  <sheetData>
    <row r="1" spans="1:7" ht="15.5" x14ac:dyDescent="0.35">
      <c r="A1" s="3" t="s">
        <v>0</v>
      </c>
      <c r="B1" s="3" t="s">
        <v>1</v>
      </c>
      <c r="C1" s="3" t="s">
        <v>2</v>
      </c>
      <c r="D1" s="3" t="s">
        <v>3</v>
      </c>
      <c r="F1" s="8" t="s">
        <v>2</v>
      </c>
      <c r="G1" t="s">
        <v>23</v>
      </c>
    </row>
    <row r="2" spans="1:7" x14ac:dyDescent="0.35">
      <c r="A2" s="4"/>
      <c r="B2" s="5"/>
      <c r="C2" s="6"/>
      <c r="D2" s="6"/>
      <c r="F2" s="9" t="s">
        <v>19</v>
      </c>
      <c r="G2" s="2"/>
    </row>
    <row r="3" spans="1:7" x14ac:dyDescent="0.35">
      <c r="A3" t="s">
        <v>4</v>
      </c>
      <c r="B3" s="1">
        <f>SUBTOTAL(109,OctTransactions[Amount])</f>
        <v>0</v>
      </c>
      <c r="C3" s="2">
        <f>SUBTOTAL(103,OctTransactions[Category])</f>
        <v>0</v>
      </c>
      <c r="D3">
        <f>SUBTOTAL(103,OctTransactions[Description])</f>
        <v>0</v>
      </c>
      <c r="F3" s="9" t="s">
        <v>32</v>
      </c>
      <c r="G3" s="2"/>
    </row>
  </sheetData>
  <conditionalFormatting sqref="B2:B3">
    <cfRule type="cellIs" dxfId="29" priority="1" operator="lessThan">
      <formula>0</formula>
    </cfRule>
    <cfRule type="cellIs" dxfId="28" priority="2" operator="greaterThan">
      <formula>0</formula>
    </cfRule>
  </conditionalFormatting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5" name="Button 1">
              <controlPr defaultSize="0" print="0" autoFill="0" autoPict="0" macro="[0]!ThisWorkbook.RefreshSheet">
                <anchor moveWithCells="1" sizeWithCells="1">
                  <from>
                    <xdr:col>4</xdr:col>
                    <xdr:colOff>241300</xdr:colOff>
                    <xdr:row>0</xdr:row>
                    <xdr:rowOff>0</xdr:rowOff>
                  </from>
                  <to>
                    <xdr:col>4</xdr:col>
                    <xdr:colOff>1155700</xdr:colOff>
                    <xdr:row>0</xdr:row>
                    <xdr:rowOff>184150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7EB09C-E112-4993-80F5-87CA135BE4AE}">
  <sheetPr codeName="Sheet12"/>
  <dimension ref="A1:G3"/>
  <sheetViews>
    <sheetView workbookViewId="0"/>
  </sheetViews>
  <sheetFormatPr defaultRowHeight="14.5" x14ac:dyDescent="0.35"/>
  <cols>
    <col min="1" max="1" width="10.6328125" customWidth="1"/>
    <col min="2" max="2" width="12.6328125" customWidth="1"/>
    <col min="3" max="3" width="20.6328125" customWidth="1"/>
    <col min="4" max="4" width="100.6328125" customWidth="1"/>
    <col min="5" max="5" width="20.08984375" customWidth="1"/>
    <col min="6" max="6" width="19.81640625" bestFit="1" customWidth="1"/>
    <col min="7" max="7" width="5.90625" bestFit="1" customWidth="1"/>
  </cols>
  <sheetData>
    <row r="1" spans="1:7" ht="15.5" x14ac:dyDescent="0.35">
      <c r="A1" s="3" t="s">
        <v>0</v>
      </c>
      <c r="B1" s="3" t="s">
        <v>1</v>
      </c>
      <c r="C1" s="3" t="s">
        <v>2</v>
      </c>
      <c r="D1" s="3" t="s">
        <v>3</v>
      </c>
      <c r="F1" s="8" t="s">
        <v>2</v>
      </c>
      <c r="G1" t="s">
        <v>23</v>
      </c>
    </row>
    <row r="2" spans="1:7" x14ac:dyDescent="0.35">
      <c r="A2" s="4"/>
      <c r="B2" s="5"/>
      <c r="C2" s="6"/>
      <c r="D2" s="6"/>
      <c r="F2" s="9" t="s">
        <v>19</v>
      </c>
      <c r="G2" s="2"/>
    </row>
    <row r="3" spans="1:7" x14ac:dyDescent="0.35">
      <c r="A3" t="s">
        <v>4</v>
      </c>
      <c r="B3" s="1">
        <f>SUBTOTAL(109,NovTransactions[Amount])</f>
        <v>0</v>
      </c>
      <c r="C3" s="2">
        <f>SUBTOTAL(103,NovTransactions[Category])</f>
        <v>0</v>
      </c>
      <c r="D3">
        <f>SUBTOTAL(103,NovTransactions[Description])</f>
        <v>0</v>
      </c>
      <c r="F3" s="9" t="s">
        <v>33</v>
      </c>
      <c r="G3" s="2"/>
    </row>
  </sheetData>
  <conditionalFormatting sqref="B2:B3">
    <cfRule type="cellIs" dxfId="19" priority="1" operator="lessThan">
      <formula>0</formula>
    </cfRule>
    <cfRule type="cellIs" dxfId="18" priority="2" operator="greaterThan">
      <formula>0</formula>
    </cfRule>
  </conditionalFormatting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5" name="Button 1">
              <controlPr defaultSize="0" print="0" autoFill="0" autoPict="0" macro="[0]!ThisWorkbook.RefreshSheet">
                <anchor moveWithCells="1" sizeWithCells="1">
                  <from>
                    <xdr:col>4</xdr:col>
                    <xdr:colOff>241300</xdr:colOff>
                    <xdr:row>0</xdr:row>
                    <xdr:rowOff>0</xdr:rowOff>
                  </from>
                  <to>
                    <xdr:col>4</xdr:col>
                    <xdr:colOff>1155700</xdr:colOff>
                    <xdr:row>0</xdr:row>
                    <xdr:rowOff>184150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462E7-51F0-43E8-A21C-441599664A97}">
  <sheetPr codeName="Sheet13"/>
  <dimension ref="A1:G3"/>
  <sheetViews>
    <sheetView workbookViewId="0"/>
  </sheetViews>
  <sheetFormatPr defaultRowHeight="14.5" x14ac:dyDescent="0.35"/>
  <cols>
    <col min="1" max="1" width="10.6328125" customWidth="1"/>
    <col min="2" max="2" width="12.6328125" customWidth="1"/>
    <col min="3" max="3" width="20.6328125" customWidth="1"/>
    <col min="4" max="4" width="100.6328125" customWidth="1"/>
    <col min="5" max="5" width="20.08984375" customWidth="1"/>
    <col min="6" max="6" width="19.6328125" bestFit="1" customWidth="1"/>
    <col min="7" max="7" width="5.90625" bestFit="1" customWidth="1"/>
  </cols>
  <sheetData>
    <row r="1" spans="1:7" ht="15.5" x14ac:dyDescent="0.35">
      <c r="A1" s="3" t="s">
        <v>0</v>
      </c>
      <c r="B1" s="3" t="s">
        <v>1</v>
      </c>
      <c r="C1" s="3" t="s">
        <v>2</v>
      </c>
      <c r="D1" s="3" t="s">
        <v>3</v>
      </c>
      <c r="F1" s="8" t="s">
        <v>2</v>
      </c>
      <c r="G1" t="s">
        <v>23</v>
      </c>
    </row>
    <row r="2" spans="1:7" x14ac:dyDescent="0.35">
      <c r="A2" s="4"/>
      <c r="B2" s="5"/>
      <c r="C2" s="6"/>
      <c r="D2" s="6"/>
      <c r="F2" s="9" t="s">
        <v>19</v>
      </c>
      <c r="G2" s="2"/>
    </row>
    <row r="3" spans="1:7" x14ac:dyDescent="0.35">
      <c r="A3" t="s">
        <v>4</v>
      </c>
      <c r="B3" s="1">
        <f>SUBTOTAL(109,DecTransactions[Amount])</f>
        <v>0</v>
      </c>
      <c r="C3" s="2">
        <f>SUBTOTAL(103,DecTransactions[Category])</f>
        <v>0</v>
      </c>
      <c r="D3">
        <f>SUBTOTAL(103,DecTransactions[Description])</f>
        <v>0</v>
      </c>
      <c r="F3" s="9" t="s">
        <v>34</v>
      </c>
      <c r="G3" s="2"/>
    </row>
  </sheetData>
  <conditionalFormatting sqref="B2:B3">
    <cfRule type="cellIs" dxfId="9" priority="1" operator="lessThan">
      <formula>0</formula>
    </cfRule>
    <cfRule type="cellIs" dxfId="8" priority="2" operator="greaterThan">
      <formula>0</formula>
    </cfRule>
  </conditionalFormatting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5" name="Button 1">
              <controlPr defaultSize="0" print="0" autoFill="0" autoPict="0" macro="[0]!ThisWorkbook.RefreshSheet">
                <anchor moveWithCells="1" sizeWithCells="1">
                  <from>
                    <xdr:col>4</xdr:col>
                    <xdr:colOff>241300</xdr:colOff>
                    <xdr:row>0</xdr:row>
                    <xdr:rowOff>0</xdr:rowOff>
                  </from>
                  <to>
                    <xdr:col>4</xdr:col>
                    <xdr:colOff>1155700</xdr:colOff>
                    <xdr:row>0</xdr:row>
                    <xdr:rowOff>184150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5F6899-C461-43FC-B6B1-12A80EBDC199}">
  <sheetPr codeName="Sheet14"/>
  <dimension ref="A1:A50"/>
  <sheetViews>
    <sheetView workbookViewId="0">
      <pane xSplit="1" topLeftCell="B1" activePane="topRight" state="frozen"/>
      <selection pane="topRight"/>
    </sheetView>
  </sheetViews>
  <sheetFormatPr defaultRowHeight="14.5" x14ac:dyDescent="0.35"/>
  <cols>
    <col min="1" max="1" width="15.6328125" customWidth="1"/>
    <col min="2" max="13" width="8.7265625" customWidth="1"/>
    <col min="15" max="17" width="8.7265625" customWidth="1"/>
  </cols>
  <sheetData>
    <row r="1" spans="1:1" ht="16" thickBot="1" x14ac:dyDescent="0.4">
      <c r="A1" s="7"/>
    </row>
    <row r="2" spans="1:1" ht="16" thickBot="1" x14ac:dyDescent="0.4">
      <c r="A2" s="7"/>
    </row>
    <row r="3" spans="1:1" ht="16" thickBot="1" x14ac:dyDescent="0.4">
      <c r="A3" s="7"/>
    </row>
    <row r="4" spans="1:1" ht="16" thickBot="1" x14ac:dyDescent="0.4">
      <c r="A4" s="7"/>
    </row>
    <row r="5" spans="1:1" ht="16" thickBot="1" x14ac:dyDescent="0.4">
      <c r="A5" s="7"/>
    </row>
    <row r="6" spans="1:1" ht="16" thickBot="1" x14ac:dyDescent="0.4">
      <c r="A6" s="7"/>
    </row>
    <row r="7" spans="1:1" ht="16" thickBot="1" x14ac:dyDescent="0.4">
      <c r="A7" s="7"/>
    </row>
    <row r="8" spans="1:1" ht="16" thickBot="1" x14ac:dyDescent="0.4">
      <c r="A8" s="7"/>
    </row>
    <row r="9" spans="1:1" ht="16" thickBot="1" x14ac:dyDescent="0.4">
      <c r="A9" s="7"/>
    </row>
    <row r="10" spans="1:1" ht="16" thickBot="1" x14ac:dyDescent="0.4">
      <c r="A10" s="7"/>
    </row>
    <row r="11" spans="1:1" ht="16" thickBot="1" x14ac:dyDescent="0.4">
      <c r="A11" s="7"/>
    </row>
    <row r="12" spans="1:1" ht="16" thickBot="1" x14ac:dyDescent="0.4">
      <c r="A12" s="7"/>
    </row>
    <row r="13" spans="1:1" ht="16" thickBot="1" x14ac:dyDescent="0.4">
      <c r="A13" s="7"/>
    </row>
    <row r="14" spans="1:1" ht="16" thickBot="1" x14ac:dyDescent="0.4">
      <c r="A14" s="7"/>
    </row>
    <row r="15" spans="1:1" ht="16" thickBot="1" x14ac:dyDescent="0.4">
      <c r="A15" s="7"/>
    </row>
    <row r="16" spans="1:1" ht="16" thickBot="1" x14ac:dyDescent="0.4">
      <c r="A16" s="7"/>
    </row>
    <row r="17" spans="1:1" ht="16" thickBot="1" x14ac:dyDescent="0.4">
      <c r="A17" s="7"/>
    </row>
    <row r="18" spans="1:1" ht="16" thickBot="1" x14ac:dyDescent="0.4">
      <c r="A18" s="7"/>
    </row>
    <row r="19" spans="1:1" ht="16" thickBot="1" x14ac:dyDescent="0.4">
      <c r="A19" s="7"/>
    </row>
    <row r="20" spans="1:1" ht="16" thickBot="1" x14ac:dyDescent="0.4">
      <c r="A20" s="7"/>
    </row>
    <row r="21" spans="1:1" ht="16" thickBot="1" x14ac:dyDescent="0.4">
      <c r="A21" s="7"/>
    </row>
    <row r="22" spans="1:1" ht="16" thickBot="1" x14ac:dyDescent="0.4">
      <c r="A22" s="7"/>
    </row>
    <row r="23" spans="1:1" ht="16" thickBot="1" x14ac:dyDescent="0.4">
      <c r="A23" s="7"/>
    </row>
    <row r="24" spans="1:1" ht="16" thickBot="1" x14ac:dyDescent="0.4">
      <c r="A24" s="7"/>
    </row>
    <row r="25" spans="1:1" ht="16" thickBot="1" x14ac:dyDescent="0.4">
      <c r="A25" s="7"/>
    </row>
    <row r="26" spans="1:1" ht="16" thickBot="1" x14ac:dyDescent="0.4">
      <c r="A26" s="7"/>
    </row>
    <row r="27" spans="1:1" ht="16" thickBot="1" x14ac:dyDescent="0.4">
      <c r="A27" s="7"/>
    </row>
    <row r="28" spans="1:1" ht="16" thickBot="1" x14ac:dyDescent="0.4">
      <c r="A28" s="7"/>
    </row>
    <row r="29" spans="1:1" ht="16" thickBot="1" x14ac:dyDescent="0.4">
      <c r="A29" s="7"/>
    </row>
    <row r="30" spans="1:1" ht="16" thickBot="1" x14ac:dyDescent="0.4">
      <c r="A30" s="7"/>
    </row>
    <row r="31" spans="1:1" ht="16" thickBot="1" x14ac:dyDescent="0.4">
      <c r="A31" s="7"/>
    </row>
    <row r="32" spans="1:1" ht="16" thickBot="1" x14ac:dyDescent="0.4">
      <c r="A32" s="7"/>
    </row>
    <row r="33" spans="1:1" ht="16" thickBot="1" x14ac:dyDescent="0.4">
      <c r="A33" s="7"/>
    </row>
    <row r="34" spans="1:1" ht="16" thickBot="1" x14ac:dyDescent="0.4">
      <c r="A34" s="7"/>
    </row>
    <row r="35" spans="1:1" ht="16" thickBot="1" x14ac:dyDescent="0.4">
      <c r="A35" s="7"/>
    </row>
    <row r="36" spans="1:1" ht="16" thickBot="1" x14ac:dyDescent="0.4">
      <c r="A36" s="7"/>
    </row>
    <row r="37" spans="1:1" ht="16" thickBot="1" x14ac:dyDescent="0.4">
      <c r="A37" s="7"/>
    </row>
    <row r="38" spans="1:1" ht="16" thickBot="1" x14ac:dyDescent="0.4">
      <c r="A38" s="7"/>
    </row>
    <row r="39" spans="1:1" ht="16" thickBot="1" x14ac:dyDescent="0.4">
      <c r="A39" s="7"/>
    </row>
    <row r="40" spans="1:1" ht="16" thickBot="1" x14ac:dyDescent="0.4">
      <c r="A40" s="7"/>
    </row>
    <row r="41" spans="1:1" ht="16" thickBot="1" x14ac:dyDescent="0.4">
      <c r="A41" s="7"/>
    </row>
    <row r="42" spans="1:1" ht="16" thickBot="1" x14ac:dyDescent="0.4">
      <c r="A42" s="7"/>
    </row>
    <row r="43" spans="1:1" ht="16" thickBot="1" x14ac:dyDescent="0.4">
      <c r="A43" s="7"/>
    </row>
    <row r="44" spans="1:1" ht="16" thickBot="1" x14ac:dyDescent="0.4">
      <c r="A44" s="7"/>
    </row>
    <row r="45" spans="1:1" ht="16" thickBot="1" x14ac:dyDescent="0.4">
      <c r="A45" s="7"/>
    </row>
    <row r="46" spans="1:1" ht="16" thickBot="1" x14ac:dyDescent="0.4">
      <c r="A46" s="7"/>
    </row>
    <row r="47" spans="1:1" ht="16" thickBot="1" x14ac:dyDescent="0.4">
      <c r="A47" s="7"/>
    </row>
    <row r="48" spans="1:1" ht="16" thickBot="1" x14ac:dyDescent="0.4">
      <c r="A48" s="7"/>
    </row>
    <row r="49" spans="1:1" ht="16" thickBot="1" x14ac:dyDescent="0.4">
      <c r="A49" s="7"/>
    </row>
    <row r="50" spans="1:1" ht="16" thickBot="1" x14ac:dyDescent="0.4">
      <c r="A50" s="7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FF81579-DBAF-4ABD-8FA5-8C19F005922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Year</vt:lpstr>
      <vt:lpstr>January</vt:lpstr>
      <vt:lpstr>February</vt:lpstr>
      <vt:lpstr>March</vt:lpstr>
      <vt:lpstr>April</vt:lpstr>
      <vt:lpstr>May</vt:lpstr>
      <vt:lpstr>June</vt:lpstr>
      <vt:lpstr>July</vt:lpstr>
      <vt:lpstr>August</vt:lpstr>
      <vt:lpstr>September</vt:lpstr>
      <vt:lpstr>October</vt:lpstr>
      <vt:lpstr>November</vt:lpstr>
      <vt:lpstr>December</vt:lpstr>
      <vt:lpstr>Categories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Terrin Hamilton</dc:creator>
  <cp:lastModifiedBy>Terrin Hamilton</cp:lastModifiedBy>
  <dcterms:created xsi:type="dcterms:W3CDTF">2019-02-02T16:14:54Z</dcterms:created>
  <dcterms:modified xsi:type="dcterms:W3CDTF">2019-02-05T01:00:03Z</dcterms:modified>
</cp:coreProperties>
</file>